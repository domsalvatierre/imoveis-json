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externalReferences>
    <externalReference r:id="rId3"/>
  </externalReferences>
  <definedNames>
    <definedName name="_xlnm._FilterDatabase" localSheetId="0" hidden="1">'Bens Imóveis'!$A$1:$Q$21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<sst xmlns="http://schemas.openxmlformats.org/spreadsheetml/2006/main" count="371" uniqueCount="149">
  <si>
    <t>ZONA</t>
  </si>
  <si>
    <t>CARTÓRIO</t>
  </si>
  <si>
    <t xml:space="preserve">EDIFICAÇÃO 
VALOR (R$) 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</si>
  <si>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</si>
  <si>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</si>
  <si>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</si>
  <si>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</si>
  <si>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</si>
  <si>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</si>
  <si>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</si>
  <si>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</si>
  <si>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</si>
  <si>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</si>
  <si>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</si>
  <si>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</si>
  <si>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</si>
  <si>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</si>
  <si>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</si>
  <si>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</si>
  <si>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</si>
  <si>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</si>
  <si>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</si>
  <si>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</si>
  <si>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</si>
  <si>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</si>
  <si>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</si>
  <si>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</si>
  <si>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</si>
  <si>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</si>
  <si>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</si>
  <si>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</si>
  <si>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</si>
  <si>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</si>
  <si>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</si>
  <si>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</si>
  <si>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</si>
  <si>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</si>
  <si>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</si>
  <si>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</si>
  <si>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</si>
  <si>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</si>
  <si>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</si>
  <si>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</si>
  <si>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</si>
  <si>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</si>
  <si>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</si>
  <si>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</si>
  <si>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</si>
  <si>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</si>
  <si>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</si>
  <si>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</si>
  <si>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</si>
  <si>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</si>
  <si>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</si>
  <si>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</si>
  <si>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</si>
  <si>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</si>
  <si>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</si>
  <si>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</si>
  <si>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</si>
  <si>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</si>
  <si>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</si>
  <si>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</si>
  <si>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</si>
  <si>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</si>
  <si>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</si>
  <si>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</si>
  <si>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</si>
  <si>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</si>
  <si>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</si>
  <si>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</si>
  <si>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</si>
  <si>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</si>
  <si>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</si>
  <si>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</si>
  <si>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</si>
  <si>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</si>
  <si>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</si>
  <si>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</si>
  <si>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</si>
  <si>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</si>
  <si>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</si>
  <si>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</si>
  <si>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Escritório de Representação em Brasília</t>
  </si>
  <si>
    <t>SEMSA</t>
  </si>
  <si>
    <t>Secretaria Municipal de Saúde</t>
  </si>
  <si>
    <t>SIGLA UG</t>
  </si>
  <si>
    <t>Em ajuste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</si>
  <si>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</si>
  <si>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</si>
  <si>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</si>
  <si>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</si>
  <si>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</si>
  <si>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</si>
  <si>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</si>
  <si>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</si>
  <si>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</si>
  <si>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</si>
  <si>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</si>
  <si>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</si>
  <si>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</si>
  <si>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Av. A, S/N - Alvorada - CEP 69.000-000</t>
  </si>
  <si>
    <t>Rua Gaivota, S/N - Conjunto Cidade de Deus - Cidade Nova - CEP 69.099-281</t>
  </si>
  <si>
    <t>Av. Genebra, 615 - Campos Elíseos - CEP 69.045-380</t>
  </si>
  <si>
    <t>Rua Luiz Vaz de Camões, 77 - Compensa I - CEP 69.030-070</t>
  </si>
  <si>
    <t>Av. Rondônia, S/N - Parque 10 de Novembro - CEP 69.000-000</t>
  </si>
  <si>
    <t>Rua Autaz Mirim, 5679 - São José Operário - CEP 69.085-000</t>
  </si>
  <si>
    <t>Rua A, 10 - Japiim - CEP 69.000-000</t>
  </si>
  <si>
    <t>Rua João Dary, S/N - São Jorge - CEP 69.033-430</t>
  </si>
  <si>
    <t>Tv. Olinda, S/N - Redenção - CEP 69.047-428</t>
  </si>
  <si>
    <t>Rua Rouxinol, S/N - Cidade Nova I - CEP 69.095-020</t>
  </si>
  <si>
    <t>Rua Eduardo Prado, S/N - Compensa - CEP 69.035-640</t>
  </si>
  <si>
    <t>Av. 17 de Março, S/N - Santa Etelvina - CEP 69.059-260</t>
  </si>
  <si>
    <t>Rua Guanabara, S/N - Santa Luzia - CEP 69.074-520</t>
  </si>
  <si>
    <t>Rua José Florêncio Batista, S/N - Petrópolis - CEP 69.063-395</t>
  </si>
  <si>
    <t>Rua Dom Cláudio Colling, S/N - Conjunto Vista Bela - Planalto - CEP 69.044-782</t>
  </si>
  <si>
    <t>Rua Itaciara, S/N - Cidade Nova I - CEP 69.090-190</t>
  </si>
  <si>
    <t>Av. Pedro Teixeira, S/N - Dom Pedro I - CEP 69.040-000</t>
  </si>
  <si>
    <t>Av. Cosme Ferreira, 871 - Coroado - CEP 69.082-230</t>
  </si>
  <si>
    <t>Rua Comendador Vicente Cruz, S/N - Santo Raimundo - CEP 69.029-090</t>
  </si>
  <si>
    <t>Rua 01, S/N - Armando Mendes - CEP 69.000-000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</si>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</sst>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PAT\_GEST&#195;O%20DE%20IM&#211;VEIS\1.INFORMA&#199;&#213;ES%20IM&#211;VEIS\IM&#211;VEIS%20COM%20REGISTRO%20E%20SEM%20REGISTRO\BEM%20IM&#211;VEL%20-%20SEMJEL_aju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s Imóveis"/>
      <sheetName val="List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zoomScaleNormal="100" workbookViewId="0">
      <pane ySplit="1" topLeftCell="A2" activePane="bottomLeft" state="frozen"/>
      <selection pane="bottomLeft" activeCell="B28" sqref="B28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21" style="4" bestFit="1" customWidth="1"/>
    <col min="4" max="4" width="15.7109375" style="4" customWidth="1"/>
    <col min="5" max="5" width="11.85546875" style="4" bestFit="1" customWidth="1"/>
    <col min="6" max="6" width="15.7109375" style="4" customWidth="1"/>
    <col min="7" max="7" width="13.42578125" style="4" customWidth="1"/>
    <col min="8" max="8" width="98.5703125" style="4" bestFit="1" customWidth="1"/>
    <col min="9" max="9" width="20.28515625" style="4" bestFit="1" customWidth="1"/>
    <col min="10" max="10" width="15.7109375" style="4" customWidth="1"/>
    <col min="11" max="11" width="22" style="4" customWidth="1"/>
    <col min="12" max="16" width="15.7109375" style="4" customWidth="1"/>
    <col min="17" max="16384" width="9.140625" style="4"/>
  </cols>
  <sheetData>
    <row r="1" spans="1:16" s="2" customFormat="1" ht="25.5" customHeight="1" thickBot="1" x14ac:dyDescent="0.3">
      <c r="A1" s="9" t="s">
        <v>86</v>
      </c>
      <c r="B1" s="10" t="s">
        <v>27</v>
      </c>
      <c r="C1" s="10" t="s">
        <v>2</v>
      </c>
      <c r="D1" s="12" t="s">
        <v>88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95</v>
      </c>
      <c r="L1" s="11" t="s">
        <v>96</v>
      </c>
      <c r="M1" s="11" t="s">
        <v>97</v>
      </c>
      <c r="N1" s="11" t="s">
        <v>98</v>
      </c>
      <c r="O1" s="11" t="s">
        <v>99</v>
      </c>
      <c r="P1" s="11" t="s">
        <v>100</v>
      </c>
    </row>
    <row r="2" spans="1:16" x14ac:dyDescent="0.2">
      <c r="A2" s="16" t="s">
        <v>57</v>
      </c>
      <c r="B2" s="3" t="str">
        <f>VLOOKUP(A2,Listas!A$3:C$30,3,0)</f>
        <v>Secretaria Municipal de Juventude, Esporte e Lazer</v>
      </c>
      <c r="C2" s="18">
        <v>0</v>
      </c>
      <c r="D2" s="15">
        <v>505</v>
      </c>
      <c r="E2" s="19" t="s">
        <v>87</v>
      </c>
      <c r="F2" s="16" t="s">
        <v>87</v>
      </c>
      <c r="G2" s="16" t="s">
        <v>87</v>
      </c>
      <c r="H2" s="17" t="s">
        <v>101</v>
      </c>
      <c r="I2" s="16" t="s">
        <v>87</v>
      </c>
      <c r="J2" s="16" t="s">
        <v>87</v>
      </c>
      <c r="K2" s="8" t="str">
        <f>VLOOKUP(A2,Listas!A$3:C$30,2,0)</f>
        <v>260101</v>
      </c>
      <c r="L2" s="13" t="s">
        <v>87</v>
      </c>
      <c r="M2" s="13" t="s">
        <v>87</v>
      </c>
      <c r="N2" s="14" t="s">
        <v>87</v>
      </c>
      <c r="O2" s="13" t="s">
        <v>87</v>
      </c>
      <c r="P2" s="13" t="s">
        <v>87</v>
      </c>
    </row>
    <row r="3" spans="1:16" x14ac:dyDescent="0.2">
      <c r="A3" s="16" t="s">
        <v>57</v>
      </c>
      <c r="B3" s="3" t="str">
        <f>VLOOKUP(A3,Listas!A$3:C$30,3,0)</f>
        <v>Secretaria Municipal de Juventude, Esporte e Lazer</v>
      </c>
      <c r="C3" s="18">
        <v>0</v>
      </c>
      <c r="D3" s="15">
        <v>506</v>
      </c>
      <c r="E3" s="19" t="s">
        <v>87</v>
      </c>
      <c r="F3" s="16" t="s">
        <v>87</v>
      </c>
      <c r="G3" s="16" t="s">
        <v>87</v>
      </c>
      <c r="H3" s="17" t="s">
        <v>102</v>
      </c>
      <c r="I3" s="16" t="s">
        <v>87</v>
      </c>
      <c r="J3" s="16" t="s">
        <v>87</v>
      </c>
      <c r="K3" s="8" t="str">
        <f>VLOOKUP(A3,Listas!A$3:C$30,2,0)</f>
        <v>260101</v>
      </c>
      <c r="L3" s="13" t="s">
        <v>87</v>
      </c>
      <c r="M3" s="13" t="s">
        <v>87</v>
      </c>
      <c r="N3" s="14" t="s">
        <v>87</v>
      </c>
      <c r="O3" s="13" t="s">
        <v>87</v>
      </c>
      <c r="P3" s="13" t="s">
        <v>87</v>
      </c>
    </row>
    <row r="4" spans="1:16" x14ac:dyDescent="0.2">
      <c r="A4" s="16" t="s">
        <v>57</v>
      </c>
      <c r="B4" s="3" t="str">
        <f>VLOOKUP(A4,Listas!A$3:C$30,3,0)</f>
        <v>Secretaria Municipal de Juventude, Esporte e Lazer</v>
      </c>
      <c r="C4" s="18">
        <v>0</v>
      </c>
      <c r="D4" s="15">
        <v>507</v>
      </c>
      <c r="E4" s="19" t="s">
        <v>87</v>
      </c>
      <c r="F4" s="16" t="s">
        <v>87</v>
      </c>
      <c r="G4" s="16" t="s">
        <v>87</v>
      </c>
      <c r="H4" s="17" t="s">
        <v>103</v>
      </c>
      <c r="I4" s="16" t="s">
        <v>87</v>
      </c>
      <c r="J4" s="16" t="s">
        <v>87</v>
      </c>
      <c r="K4" s="8" t="str">
        <f>VLOOKUP(A4,Listas!A$3:C$30,2,0)</f>
        <v>260101</v>
      </c>
      <c r="L4" s="13" t="s">
        <v>87</v>
      </c>
      <c r="M4" s="13" t="s">
        <v>87</v>
      </c>
      <c r="N4" s="14" t="s">
        <v>87</v>
      </c>
      <c r="O4" s="13" t="s">
        <v>87</v>
      </c>
      <c r="P4" s="13" t="s">
        <v>87</v>
      </c>
    </row>
    <row r="5" spans="1:16" x14ac:dyDescent="0.2">
      <c r="A5" s="16" t="s">
        <v>57</v>
      </c>
      <c r="B5" s="3" t="str">
        <f>VLOOKUP(A5,Listas!A$3:C$30,3,0)</f>
        <v>Secretaria Municipal de Juventude, Esporte e Lazer</v>
      </c>
      <c r="C5" s="18">
        <v>0</v>
      </c>
      <c r="D5" s="15">
        <v>508</v>
      </c>
      <c r="E5" s="19" t="s">
        <v>87</v>
      </c>
      <c r="F5" s="16" t="s">
        <v>87</v>
      </c>
      <c r="G5" s="16" t="s">
        <v>87</v>
      </c>
      <c r="H5" s="17" t="s">
        <v>104</v>
      </c>
      <c r="I5" s="16" t="s">
        <v>87</v>
      </c>
      <c r="J5" s="16" t="s">
        <v>87</v>
      </c>
      <c r="K5" s="8" t="str">
        <f>VLOOKUP(A5,Listas!A$3:C$30,2,0)</f>
        <v>260101</v>
      </c>
      <c r="L5" s="13" t="s">
        <v>87</v>
      </c>
      <c r="M5" s="13" t="s">
        <v>87</v>
      </c>
      <c r="N5" s="14" t="s">
        <v>87</v>
      </c>
      <c r="O5" s="13" t="s">
        <v>87</v>
      </c>
      <c r="P5" s="13" t="s">
        <v>87</v>
      </c>
    </row>
    <row r="6" spans="1:16" x14ac:dyDescent="0.2">
      <c r="A6" s="16" t="s">
        <v>57</v>
      </c>
      <c r="B6" s="3" t="str">
        <f>VLOOKUP(A6,Listas!A$3:C$30,3,0)</f>
        <v>Secretaria Municipal de Juventude, Esporte e Lazer</v>
      </c>
      <c r="C6" s="18">
        <v>0</v>
      </c>
      <c r="D6" s="15">
        <v>509</v>
      </c>
      <c r="E6" s="19" t="s">
        <v>87</v>
      </c>
      <c r="F6" s="16" t="s">
        <v>87</v>
      </c>
      <c r="G6" s="16" t="s">
        <v>87</v>
      </c>
      <c r="H6" s="17" t="s">
        <v>105</v>
      </c>
      <c r="I6" s="16" t="s">
        <v>87</v>
      </c>
      <c r="J6" s="16" t="s">
        <v>87</v>
      </c>
      <c r="K6" s="8" t="str">
        <f>VLOOKUP(A6,Listas!A$3:C$30,2,0)</f>
        <v>260101</v>
      </c>
      <c r="L6" s="13" t="s">
        <v>87</v>
      </c>
      <c r="M6" s="13" t="s">
        <v>87</v>
      </c>
      <c r="N6" s="14" t="s">
        <v>87</v>
      </c>
      <c r="O6" s="13" t="s">
        <v>87</v>
      </c>
      <c r="P6" s="13" t="s">
        <v>87</v>
      </c>
    </row>
    <row r="7" spans="1:16" x14ac:dyDescent="0.2">
      <c r="A7" s="16" t="s">
        <v>57</v>
      </c>
      <c r="B7" s="3" t="str">
        <f>VLOOKUP(A7,Listas!A$3:C$30,3,0)</f>
        <v>Secretaria Municipal de Juventude, Esporte e Lazer</v>
      </c>
      <c r="C7" s="18">
        <v>0</v>
      </c>
      <c r="D7" s="15">
        <v>510</v>
      </c>
      <c r="E7" s="19" t="s">
        <v>87</v>
      </c>
      <c r="F7" s="16" t="s">
        <v>87</v>
      </c>
      <c r="G7" s="16" t="s">
        <v>87</v>
      </c>
      <c r="H7" s="17" t="s">
        <v>106</v>
      </c>
      <c r="I7" s="16" t="s">
        <v>87</v>
      </c>
      <c r="J7" s="16" t="s">
        <v>87</v>
      </c>
      <c r="K7" s="8" t="str">
        <f>VLOOKUP(A7,Listas!A$3:C$30,2,0)</f>
        <v>260101</v>
      </c>
      <c r="L7" s="13" t="s">
        <v>87</v>
      </c>
      <c r="M7" s="13" t="s">
        <v>87</v>
      </c>
      <c r="N7" s="14" t="s">
        <v>87</v>
      </c>
      <c r="O7" s="13" t="s">
        <v>87</v>
      </c>
      <c r="P7" s="13" t="s">
        <v>87</v>
      </c>
    </row>
    <row r="8" spans="1:16" x14ac:dyDescent="0.2">
      <c r="A8" s="16" t="s">
        <v>57</v>
      </c>
      <c r="B8" s="3" t="str">
        <f>VLOOKUP(A8,Listas!A$3:C$30,3,0)</f>
        <v>Secretaria Municipal de Juventude, Esporte e Lazer</v>
      </c>
      <c r="C8" s="18">
        <v>0</v>
      </c>
      <c r="D8" s="15">
        <v>511</v>
      </c>
      <c r="E8" s="19" t="s">
        <v>87</v>
      </c>
      <c r="F8" s="16" t="s">
        <v>87</v>
      </c>
      <c r="G8" s="16" t="s">
        <v>87</v>
      </c>
      <c r="H8" s="17" t="s">
        <v>107</v>
      </c>
      <c r="I8" s="16" t="s">
        <v>87</v>
      </c>
      <c r="J8" s="16" t="s">
        <v>87</v>
      </c>
      <c r="K8" s="8" t="str">
        <f>VLOOKUP(A8,Listas!A$3:C$30,2,0)</f>
        <v>260101</v>
      </c>
      <c r="L8" s="13" t="s">
        <v>87</v>
      </c>
      <c r="M8" s="13" t="s">
        <v>87</v>
      </c>
      <c r="N8" s="14" t="s">
        <v>87</v>
      </c>
      <c r="O8" s="13" t="s">
        <v>87</v>
      </c>
      <c r="P8" s="13" t="s">
        <v>87</v>
      </c>
    </row>
    <row r="9" spans="1:16" x14ac:dyDescent="0.2">
      <c r="A9" s="16" t="s">
        <v>57</v>
      </c>
      <c r="B9" s="3" t="str">
        <f>VLOOKUP(A9,Listas!A$3:C$30,3,0)</f>
        <v>Secretaria Municipal de Juventude, Esporte e Lazer</v>
      </c>
      <c r="C9" s="18">
        <v>0</v>
      </c>
      <c r="D9" s="15">
        <v>512</v>
      </c>
      <c r="E9" s="19" t="s">
        <v>87</v>
      </c>
      <c r="F9" s="16" t="s">
        <v>87</v>
      </c>
      <c r="G9" s="16" t="s">
        <v>87</v>
      </c>
      <c r="H9" s="17" t="s">
        <v>108</v>
      </c>
      <c r="I9" s="16" t="s">
        <v>87</v>
      </c>
      <c r="J9" s="16" t="s">
        <v>87</v>
      </c>
      <c r="K9" s="8" t="str">
        <f>VLOOKUP(A9,Listas!A$3:C$30,2,0)</f>
        <v>260101</v>
      </c>
      <c r="L9" s="13" t="s">
        <v>87</v>
      </c>
      <c r="M9" s="13" t="s">
        <v>87</v>
      </c>
      <c r="N9" s="14" t="s">
        <v>87</v>
      </c>
      <c r="O9" s="13" t="s">
        <v>87</v>
      </c>
      <c r="P9" s="13" t="s">
        <v>87</v>
      </c>
    </row>
    <row r="10" spans="1:16" x14ac:dyDescent="0.2">
      <c r="A10" s="16" t="s">
        <v>57</v>
      </c>
      <c r="B10" s="3" t="str">
        <f>VLOOKUP(A10,Listas!A$3:C$30,3,0)</f>
        <v>Secretaria Municipal de Juventude, Esporte e Lazer</v>
      </c>
      <c r="C10" s="18">
        <v>0</v>
      </c>
      <c r="D10" s="15">
        <v>513</v>
      </c>
      <c r="E10" s="19" t="s">
        <v>87</v>
      </c>
      <c r="F10" s="16" t="s">
        <v>87</v>
      </c>
      <c r="G10" s="16" t="s">
        <v>87</v>
      </c>
      <c r="H10" s="17" t="s">
        <v>109</v>
      </c>
      <c r="I10" s="16" t="s">
        <v>87</v>
      </c>
      <c r="J10" s="16" t="s">
        <v>87</v>
      </c>
      <c r="K10" s="8" t="str">
        <f>VLOOKUP(A10,Listas!A$3:C$30,2,0)</f>
        <v>260101</v>
      </c>
      <c r="L10" s="13" t="s">
        <v>87</v>
      </c>
      <c r="M10" s="13" t="s">
        <v>87</v>
      </c>
      <c r="N10" s="14" t="s">
        <v>87</v>
      </c>
      <c r="O10" s="13" t="s">
        <v>87</v>
      </c>
      <c r="P10" s="13" t="s">
        <v>87</v>
      </c>
    </row>
    <row r="11" spans="1:16" x14ac:dyDescent="0.2">
      <c r="A11" s="16" t="s">
        <v>57</v>
      </c>
      <c r="B11" s="3" t="str">
        <f>VLOOKUP(A11,Listas!A$3:C$30,3,0)</f>
        <v>Secretaria Municipal de Juventude, Esporte e Lazer</v>
      </c>
      <c r="C11" s="18">
        <v>0</v>
      </c>
      <c r="D11" s="15">
        <v>514</v>
      </c>
      <c r="E11" s="19" t="s">
        <v>87</v>
      </c>
      <c r="F11" s="16" t="s">
        <v>87</v>
      </c>
      <c r="G11" s="16" t="s">
        <v>87</v>
      </c>
      <c r="H11" s="17" t="s">
        <v>110</v>
      </c>
      <c r="I11" s="16" t="s">
        <v>87</v>
      </c>
      <c r="J11" s="16" t="s">
        <v>87</v>
      </c>
      <c r="K11" s="8" t="str">
        <f>VLOOKUP(A11,Listas!A$3:C$30,2,0)</f>
        <v>260101</v>
      </c>
      <c r="L11" s="13" t="s">
        <v>87</v>
      </c>
      <c r="M11" s="13" t="s">
        <v>87</v>
      </c>
      <c r="N11" s="14" t="s">
        <v>87</v>
      </c>
      <c r="O11" s="13" t="s">
        <v>87</v>
      </c>
      <c r="P11" s="13" t="s">
        <v>87</v>
      </c>
    </row>
    <row r="12" spans="1:16" x14ac:dyDescent="0.2">
      <c r="A12" s="16" t="s">
        <v>57</v>
      </c>
      <c r="B12" s="3" t="str">
        <f>VLOOKUP(A12,Listas!A$3:C$30,3,0)</f>
        <v>Secretaria Municipal de Juventude, Esporte e Lazer</v>
      </c>
      <c r="C12" s="18">
        <v>0</v>
      </c>
      <c r="D12" s="15">
        <v>515</v>
      </c>
      <c r="E12" s="19" t="s">
        <v>87</v>
      </c>
      <c r="F12" s="16" t="s">
        <v>87</v>
      </c>
      <c r="G12" s="16" t="s">
        <v>87</v>
      </c>
      <c r="H12" s="17" t="s">
        <v>111</v>
      </c>
      <c r="I12" s="16" t="s">
        <v>87</v>
      </c>
      <c r="J12" s="16" t="s">
        <v>87</v>
      </c>
      <c r="K12" s="8" t="str">
        <f>VLOOKUP(A12,Listas!A$3:C$30,2,0)</f>
        <v>260101</v>
      </c>
      <c r="L12" s="13" t="s">
        <v>87</v>
      </c>
      <c r="M12" s="13" t="s">
        <v>87</v>
      </c>
      <c r="N12" s="14" t="s">
        <v>87</v>
      </c>
      <c r="O12" s="13" t="s">
        <v>87</v>
      </c>
      <c r="P12" s="13" t="s">
        <v>87</v>
      </c>
    </row>
    <row r="13" spans="1:16" x14ac:dyDescent="0.2">
      <c r="A13" s="16" t="s">
        <v>57</v>
      </c>
      <c r="B13" s="3" t="str">
        <f>VLOOKUP(A13,Listas!A$3:C$30,3,0)</f>
        <v>Secretaria Municipal de Juventude, Esporte e Lazer</v>
      </c>
      <c r="C13" s="18">
        <v>0</v>
      </c>
      <c r="D13" s="15">
        <v>516</v>
      </c>
      <c r="E13" s="19" t="s">
        <v>87</v>
      </c>
      <c r="F13" s="16" t="s">
        <v>87</v>
      </c>
      <c r="G13" s="16" t="s">
        <v>87</v>
      </c>
      <c r="H13" s="17" t="s">
        <v>112</v>
      </c>
      <c r="I13" s="16" t="s">
        <v>87</v>
      </c>
      <c r="J13" s="16" t="s">
        <v>87</v>
      </c>
      <c r="K13" s="8" t="str">
        <f>VLOOKUP(A13,Listas!A$3:C$30,2,0)</f>
        <v>260101</v>
      </c>
      <c r="L13" s="13" t="s">
        <v>87</v>
      </c>
      <c r="M13" s="13" t="s">
        <v>87</v>
      </c>
      <c r="N13" s="14" t="s">
        <v>87</v>
      </c>
      <c r="O13" s="13" t="s">
        <v>87</v>
      </c>
      <c r="P13" s="13" t="s">
        <v>87</v>
      </c>
    </row>
    <row r="14" spans="1:16" x14ac:dyDescent="0.2">
      <c r="A14" s="16" t="s">
        <v>57</v>
      </c>
      <c r="B14" s="3" t="str">
        <f>VLOOKUP(A14,Listas!A$3:C$30,3,0)</f>
        <v>Secretaria Municipal de Juventude, Esporte e Lazer</v>
      </c>
      <c r="C14" s="18">
        <v>0</v>
      </c>
      <c r="D14" s="15">
        <v>517</v>
      </c>
      <c r="E14" s="19" t="s">
        <v>87</v>
      </c>
      <c r="F14" s="16" t="s">
        <v>87</v>
      </c>
      <c r="G14" s="16" t="s">
        <v>87</v>
      </c>
      <c r="H14" s="17" t="s">
        <v>113</v>
      </c>
      <c r="I14" s="16" t="s">
        <v>87</v>
      </c>
      <c r="J14" s="16" t="s">
        <v>87</v>
      </c>
      <c r="K14" s="8" t="str">
        <f>VLOOKUP(A14,Listas!A$3:C$30,2,0)</f>
        <v>260101</v>
      </c>
      <c r="L14" s="13" t="s">
        <v>87</v>
      </c>
      <c r="M14" s="13" t="s">
        <v>87</v>
      </c>
      <c r="N14" s="14" t="s">
        <v>87</v>
      </c>
      <c r="O14" s="13" t="s">
        <v>87</v>
      </c>
      <c r="P14" s="13" t="s">
        <v>87</v>
      </c>
    </row>
    <row r="15" spans="1:16" x14ac:dyDescent="0.2">
      <c r="A15" s="16" t="s">
        <v>57</v>
      </c>
      <c r="B15" s="3" t="str">
        <f>VLOOKUP(A15,Listas!A$3:C$30,3,0)</f>
        <v>Secretaria Municipal de Juventude, Esporte e Lazer</v>
      </c>
      <c r="C15" s="18">
        <v>0</v>
      </c>
      <c r="D15" s="15">
        <v>518</v>
      </c>
      <c r="E15" s="19" t="s">
        <v>87</v>
      </c>
      <c r="F15" s="16" t="s">
        <v>87</v>
      </c>
      <c r="G15" s="16" t="s">
        <v>87</v>
      </c>
      <c r="H15" s="17" t="s">
        <v>114</v>
      </c>
      <c r="I15" s="16" t="s">
        <v>87</v>
      </c>
      <c r="J15" s="16" t="s">
        <v>87</v>
      </c>
      <c r="K15" s="8" t="str">
        <f>VLOOKUP(A15,Listas!A$3:C$30,2,0)</f>
        <v>260101</v>
      </c>
      <c r="L15" s="13" t="s">
        <v>87</v>
      </c>
      <c r="M15" s="13" t="s">
        <v>87</v>
      </c>
      <c r="N15" s="14" t="s">
        <v>87</v>
      </c>
      <c r="O15" s="13" t="s">
        <v>87</v>
      </c>
      <c r="P15" s="13" t="s">
        <v>87</v>
      </c>
    </row>
    <row r="16" spans="1:16" x14ac:dyDescent="0.2">
      <c r="A16" s="16" t="s">
        <v>57</v>
      </c>
      <c r="B16" s="3" t="str">
        <f>VLOOKUP(A16,Listas!A$3:C$30,3,0)</f>
        <v>Secretaria Municipal de Juventude, Esporte e Lazer</v>
      </c>
      <c r="C16" s="18">
        <v>0</v>
      </c>
      <c r="D16" s="15">
        <v>519</v>
      </c>
      <c r="E16" s="19" t="s">
        <v>87</v>
      </c>
      <c r="F16" s="16" t="s">
        <v>87</v>
      </c>
      <c r="G16" s="16" t="s">
        <v>87</v>
      </c>
      <c r="H16" s="17" t="s">
        <v>115</v>
      </c>
      <c r="I16" s="16" t="s">
        <v>87</v>
      </c>
      <c r="J16" s="16" t="s">
        <v>87</v>
      </c>
      <c r="K16" s="8" t="str">
        <f>VLOOKUP(A16,Listas!A$3:C$30,2,0)</f>
        <v>260101</v>
      </c>
      <c r="L16" s="13" t="s">
        <v>87</v>
      </c>
      <c r="M16" s="13" t="s">
        <v>87</v>
      </c>
      <c r="N16" s="14" t="s">
        <v>87</v>
      </c>
      <c r="O16" s="13" t="s">
        <v>87</v>
      </c>
      <c r="P16" s="13" t="s">
        <v>87</v>
      </c>
    </row>
    <row r="17" spans="1:16" x14ac:dyDescent="0.2">
      <c r="A17" s="16" t="s">
        <v>57</v>
      </c>
      <c r="B17" s="3" t="str">
        <f>VLOOKUP(A17,Listas!A$3:C$30,3,0)</f>
        <v>Secretaria Municipal de Juventude, Esporte e Lazer</v>
      </c>
      <c r="C17" s="18">
        <v>0</v>
      </c>
      <c r="D17" s="15">
        <v>520</v>
      </c>
      <c r="E17" s="19" t="s">
        <v>87</v>
      </c>
      <c r="F17" s="16" t="s">
        <v>87</v>
      </c>
      <c r="G17" s="16" t="s">
        <v>87</v>
      </c>
      <c r="H17" s="17" t="s">
        <v>116</v>
      </c>
      <c r="I17" s="16" t="s">
        <v>87</v>
      </c>
      <c r="J17" s="16" t="s">
        <v>87</v>
      </c>
      <c r="K17" s="8" t="str">
        <f>VLOOKUP(A17,Listas!A$3:C$30,2,0)</f>
        <v>260101</v>
      </c>
      <c r="L17" s="13" t="s">
        <v>87</v>
      </c>
      <c r="M17" s="13" t="s">
        <v>87</v>
      </c>
      <c r="N17" s="14" t="s">
        <v>87</v>
      </c>
      <c r="O17" s="13" t="s">
        <v>87</v>
      </c>
      <c r="P17" s="13" t="s">
        <v>87</v>
      </c>
    </row>
    <row r="18" spans="1:16" x14ac:dyDescent="0.2">
      <c r="A18" s="16" t="s">
        <v>57</v>
      </c>
      <c r="B18" s="3" t="str">
        <f>VLOOKUP(A18,Listas!A$3:C$30,3,0)</f>
        <v>Secretaria Municipal de Juventude, Esporte e Lazer</v>
      </c>
      <c r="C18" s="18">
        <v>1476959.12</v>
      </c>
      <c r="D18" s="15">
        <v>521</v>
      </c>
      <c r="E18" s="19" t="s">
        <v>87</v>
      </c>
      <c r="F18" s="16" t="s">
        <v>87</v>
      </c>
      <c r="G18" s="16" t="s">
        <v>87</v>
      </c>
      <c r="H18" s="17" t="s">
        <v>117</v>
      </c>
      <c r="I18" s="16" t="s">
        <v>87</v>
      </c>
      <c r="J18" s="16" t="s">
        <v>87</v>
      </c>
      <c r="K18" s="8" t="str">
        <f>VLOOKUP(A18,Listas!A$3:C$30,2,0)</f>
        <v>260101</v>
      </c>
      <c r="L18" s="13" t="s">
        <v>87</v>
      </c>
      <c r="M18" s="13" t="s">
        <v>87</v>
      </c>
      <c r="N18" s="14" t="s">
        <v>87</v>
      </c>
      <c r="O18" s="13" t="s">
        <v>87</v>
      </c>
      <c r="P18" s="13" t="s">
        <v>87</v>
      </c>
    </row>
    <row r="19" spans="1:16" x14ac:dyDescent="0.2">
      <c r="A19" s="16" t="s">
        <v>57</v>
      </c>
      <c r="B19" s="3" t="str">
        <f>VLOOKUP(A19,Listas!A$3:C$30,3,0)</f>
        <v>Secretaria Municipal de Juventude, Esporte e Lazer</v>
      </c>
      <c r="C19" s="18">
        <v>0</v>
      </c>
      <c r="D19" s="15">
        <v>522</v>
      </c>
      <c r="E19" s="19" t="s">
        <v>87</v>
      </c>
      <c r="F19" s="16" t="s">
        <v>87</v>
      </c>
      <c r="G19" s="16" t="s">
        <v>87</v>
      </c>
      <c r="H19" s="17" t="s">
        <v>118</v>
      </c>
      <c r="I19" s="16" t="s">
        <v>87</v>
      </c>
      <c r="J19" s="16" t="s">
        <v>87</v>
      </c>
      <c r="K19" s="8" t="str">
        <f>VLOOKUP(A19,Listas!A$3:C$30,2,0)</f>
        <v>260101</v>
      </c>
      <c r="L19" s="13" t="s">
        <v>87</v>
      </c>
      <c r="M19" s="13" t="s">
        <v>87</v>
      </c>
      <c r="N19" s="14" t="s">
        <v>87</v>
      </c>
      <c r="O19" s="13" t="s">
        <v>87</v>
      </c>
      <c r="P19" s="13" t="s">
        <v>87</v>
      </c>
    </row>
    <row r="20" spans="1:16" x14ac:dyDescent="0.2">
      <c r="A20" s="16" t="s">
        <v>57</v>
      </c>
      <c r="B20" s="3" t="str">
        <f>VLOOKUP(A20,Listas!A$3:C$30,3,0)</f>
        <v>Secretaria Municipal de Juventude, Esporte e Lazer</v>
      </c>
      <c r="C20" s="18">
        <v>0</v>
      </c>
      <c r="D20" s="15">
        <v>523</v>
      </c>
      <c r="E20" s="19" t="s">
        <v>87</v>
      </c>
      <c r="F20" s="16" t="s">
        <v>87</v>
      </c>
      <c r="G20" s="16" t="s">
        <v>87</v>
      </c>
      <c r="H20" s="17" t="s">
        <v>119</v>
      </c>
      <c r="I20" s="16" t="s">
        <v>87</v>
      </c>
      <c r="J20" s="16" t="s">
        <v>87</v>
      </c>
      <c r="K20" s="8" t="str">
        <f>VLOOKUP(A20,Listas!A$3:C$30,2,0)</f>
        <v>260101</v>
      </c>
      <c r="L20" s="13" t="s">
        <v>87</v>
      </c>
      <c r="M20" s="13" t="s">
        <v>87</v>
      </c>
      <c r="N20" s="14" t="s">
        <v>87</v>
      </c>
      <c r="O20" s="13" t="s">
        <v>87</v>
      </c>
      <c r="P20" s="13" t="s">
        <v>87</v>
      </c>
    </row>
    <row r="21" spans="1:16" x14ac:dyDescent="0.2">
      <c r="A21" s="16" t="s">
        <v>57</v>
      </c>
      <c r="B21" s="3" t="str">
        <f>VLOOKUP(A21,Listas!A$3:C$30,3,0)</f>
        <v>Secretaria Municipal de Juventude, Esporte e Lazer</v>
      </c>
      <c r="C21" s="18">
        <v>0</v>
      </c>
      <c r="D21" s="15">
        <v>524</v>
      </c>
      <c r="E21" s="19" t="s">
        <v>87</v>
      </c>
      <c r="F21" s="16" t="s">
        <v>87</v>
      </c>
      <c r="G21" s="16" t="s">
        <v>87</v>
      </c>
      <c r="H21" s="17" t="s">
        <v>120</v>
      </c>
      <c r="I21" s="16" t="s">
        <v>87</v>
      </c>
      <c r="J21" s="16" t="s">
        <v>87</v>
      </c>
      <c r="K21" s="8" t="str">
        <f>VLOOKUP(A21,Listas!A$3:C$30,2,0)</f>
        <v>260101</v>
      </c>
      <c r="L21" s="13" t="s">
        <v>87</v>
      </c>
      <c r="M21" s="13" t="s">
        <v>87</v>
      </c>
      <c r="N21" s="14" t="s">
        <v>87</v>
      </c>
      <c r="O21" s="13" t="s">
        <v>87</v>
      </c>
      <c r="P21" s="13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'N:\DPAT\_GESTÃO DE IMÓVEIS\1.INFORMAÇÕES IMÓVEIS\IMÓVEIS COM REGISTRO E SEM REGISTRO\[BEM IMÓVEL - SEMJEL_ajuste.xlsx]Listas'!#REF!</xm:f>
          </x14:formula1>
          <xm:sqref>A2:A21 J2:J21 G2:G21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6" sqref="C16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7" t="s">
        <v>3</v>
      </c>
      <c r="B2" s="7" t="s">
        <v>52</v>
      </c>
      <c r="C2" s="7" t="s">
        <v>29</v>
      </c>
      <c r="D2" s="7" t="s">
        <v>5</v>
      </c>
      <c r="E2" s="7" t="s">
        <v>0</v>
      </c>
      <c r="F2" s="7" t="s">
        <v>4</v>
      </c>
      <c r="G2" s="7" t="s">
        <v>1</v>
      </c>
    </row>
    <row r="3" spans="1:7" x14ac:dyDescent="0.25">
      <c r="A3" s="5" t="s">
        <v>81</v>
      </c>
      <c r="B3" s="5" t="s">
        <v>121</v>
      </c>
      <c r="C3" s="5" t="s">
        <v>82</v>
      </c>
      <c r="D3" s="5" t="s">
        <v>7</v>
      </c>
      <c r="E3" s="5" t="s">
        <v>16</v>
      </c>
      <c r="F3" s="5" t="s">
        <v>20</v>
      </c>
      <c r="G3" s="5" t="s">
        <v>22</v>
      </c>
    </row>
    <row r="4" spans="1:7" x14ac:dyDescent="0.25">
      <c r="A4" s="5" t="s">
        <v>31</v>
      </c>
      <c r="B4" s="5" t="s">
        <v>122</v>
      </c>
      <c r="C4" s="5" t="s">
        <v>32</v>
      </c>
      <c r="D4" s="5" t="s">
        <v>6</v>
      </c>
      <c r="E4" s="5" t="s">
        <v>15</v>
      </c>
      <c r="F4" s="5" t="s">
        <v>21</v>
      </c>
      <c r="G4" s="5" t="s">
        <v>23</v>
      </c>
    </row>
    <row r="5" spans="1:7" x14ac:dyDescent="0.25">
      <c r="A5" s="5" t="s">
        <v>33</v>
      </c>
      <c r="B5" s="5" t="s">
        <v>123</v>
      </c>
      <c r="C5" s="5" t="s">
        <v>83</v>
      </c>
      <c r="D5" s="5" t="s">
        <v>8</v>
      </c>
      <c r="E5" s="5" t="s">
        <v>14</v>
      </c>
      <c r="F5" s="5" t="s">
        <v>18</v>
      </c>
      <c r="G5" s="5" t="s">
        <v>24</v>
      </c>
    </row>
    <row r="6" spans="1:7" x14ac:dyDescent="0.25">
      <c r="A6" s="5" t="s">
        <v>50</v>
      </c>
      <c r="B6" s="5" t="s">
        <v>124</v>
      </c>
      <c r="C6" s="5" t="s">
        <v>51</v>
      </c>
      <c r="D6" s="5" t="s">
        <v>87</v>
      </c>
      <c r="E6" s="5" t="s">
        <v>13</v>
      </c>
      <c r="F6" s="5" t="s">
        <v>17</v>
      </c>
      <c r="G6" s="5" t="s">
        <v>25</v>
      </c>
    </row>
    <row r="7" spans="1:7" x14ac:dyDescent="0.25">
      <c r="A7" s="5" t="s">
        <v>40</v>
      </c>
      <c r="B7" s="5" t="s">
        <v>125</v>
      </c>
      <c r="C7" s="5" t="s">
        <v>41</v>
      </c>
      <c r="D7" s="5"/>
      <c r="E7" s="5" t="s">
        <v>11</v>
      </c>
      <c r="F7" s="5" t="s">
        <v>19</v>
      </c>
      <c r="G7" s="5" t="s">
        <v>26</v>
      </c>
    </row>
    <row r="8" spans="1:7" x14ac:dyDescent="0.25">
      <c r="A8" s="5" t="s">
        <v>28</v>
      </c>
      <c r="B8" s="5" t="s">
        <v>126</v>
      </c>
      <c r="C8" s="5" t="s">
        <v>30</v>
      </c>
      <c r="D8" s="5"/>
      <c r="E8" s="5" t="s">
        <v>9</v>
      </c>
      <c r="F8" s="5" t="s">
        <v>87</v>
      </c>
      <c r="G8" s="5" t="s">
        <v>87</v>
      </c>
    </row>
    <row r="9" spans="1:7" x14ac:dyDescent="0.25">
      <c r="A9" s="5" t="s">
        <v>71</v>
      </c>
      <c r="B9" s="5" t="s">
        <v>127</v>
      </c>
      <c r="C9" s="5" t="s">
        <v>72</v>
      </c>
      <c r="D9" s="5"/>
      <c r="E9" s="5" t="s">
        <v>12</v>
      </c>
      <c r="F9" s="5"/>
      <c r="G9" s="5"/>
    </row>
    <row r="10" spans="1:7" x14ac:dyDescent="0.25">
      <c r="A10" s="5" t="s">
        <v>53</v>
      </c>
      <c r="B10" s="5" t="s">
        <v>128</v>
      </c>
      <c r="C10" s="5" t="s">
        <v>54</v>
      </c>
      <c r="D10" s="5"/>
      <c r="E10" s="5" t="s">
        <v>10</v>
      </c>
      <c r="F10" s="5"/>
      <c r="G10" s="5"/>
    </row>
    <row r="11" spans="1:7" x14ac:dyDescent="0.25">
      <c r="A11" s="5" t="s">
        <v>34</v>
      </c>
      <c r="B11" s="5" t="s">
        <v>129</v>
      </c>
      <c r="C11" s="5" t="s">
        <v>35</v>
      </c>
      <c r="D11" s="5"/>
      <c r="E11" s="5"/>
      <c r="F11" s="5"/>
      <c r="G11" s="5"/>
    </row>
    <row r="12" spans="1:7" x14ac:dyDescent="0.25">
      <c r="A12" s="5" t="s">
        <v>75</v>
      </c>
      <c r="B12" s="5" t="s">
        <v>130</v>
      </c>
      <c r="C12" s="5" t="s">
        <v>76</v>
      </c>
      <c r="D12" s="5"/>
      <c r="E12" s="5"/>
      <c r="F12" s="5"/>
      <c r="G12" s="5"/>
    </row>
    <row r="13" spans="1:7" x14ac:dyDescent="0.25">
      <c r="A13" s="5" t="s">
        <v>73</v>
      </c>
      <c r="B13" s="5" t="s">
        <v>131</v>
      </c>
      <c r="C13" s="5" t="s">
        <v>74</v>
      </c>
      <c r="D13" s="5"/>
      <c r="E13" s="5"/>
      <c r="F13" s="5"/>
      <c r="G13" s="5"/>
    </row>
    <row r="14" spans="1:7" x14ac:dyDescent="0.25">
      <c r="A14" s="5" t="s">
        <v>77</v>
      </c>
      <c r="B14" s="5" t="s">
        <v>132</v>
      </c>
      <c r="C14" s="5" t="s">
        <v>78</v>
      </c>
      <c r="D14" s="5"/>
      <c r="E14" s="5"/>
      <c r="F14" s="5"/>
      <c r="G14" s="5"/>
    </row>
    <row r="15" spans="1:7" x14ac:dyDescent="0.25">
      <c r="A15" s="5" t="s">
        <v>79</v>
      </c>
      <c r="B15" s="5" t="s">
        <v>133</v>
      </c>
      <c r="C15" s="5" t="s">
        <v>80</v>
      </c>
      <c r="D15" s="5"/>
      <c r="E15" s="5"/>
      <c r="F15" s="5"/>
      <c r="G15" s="5"/>
    </row>
    <row r="16" spans="1:7" x14ac:dyDescent="0.25">
      <c r="A16" s="5" t="s">
        <v>36</v>
      </c>
      <c r="B16" s="5" t="s">
        <v>134</v>
      </c>
      <c r="C16" s="5" t="s">
        <v>37</v>
      </c>
      <c r="D16" s="5"/>
      <c r="E16" s="5"/>
      <c r="F16" s="5"/>
      <c r="G16" s="5"/>
    </row>
    <row r="17" spans="1:7" x14ac:dyDescent="0.25">
      <c r="A17" s="5" t="s">
        <v>67</v>
      </c>
      <c r="B17" s="5" t="s">
        <v>135</v>
      </c>
      <c r="C17" s="5" t="s">
        <v>68</v>
      </c>
      <c r="D17" s="5"/>
      <c r="E17" s="5"/>
      <c r="F17" s="5"/>
      <c r="G17" s="5"/>
    </row>
    <row r="18" spans="1:7" x14ac:dyDescent="0.25">
      <c r="A18" s="5" t="s">
        <v>38</v>
      </c>
      <c r="B18" s="5" t="s">
        <v>136</v>
      </c>
      <c r="C18" s="5" t="s">
        <v>39</v>
      </c>
      <c r="D18" s="5"/>
      <c r="E18" s="5"/>
      <c r="F18" s="5"/>
      <c r="G18" s="5"/>
    </row>
    <row r="19" spans="1:7" x14ac:dyDescent="0.25">
      <c r="A19" s="5" t="s">
        <v>63</v>
      </c>
      <c r="B19" s="5" t="s">
        <v>137</v>
      </c>
      <c r="C19" s="5" t="s">
        <v>64</v>
      </c>
      <c r="D19" s="5"/>
      <c r="E19" s="5"/>
      <c r="F19" s="5"/>
      <c r="G19" s="5"/>
    </row>
    <row r="20" spans="1:7" x14ac:dyDescent="0.25">
      <c r="A20" s="5" t="s">
        <v>46</v>
      </c>
      <c r="B20" s="5" t="s">
        <v>138</v>
      </c>
      <c r="C20" s="5" t="s">
        <v>47</v>
      </c>
      <c r="D20" s="5"/>
      <c r="E20" s="5"/>
      <c r="F20" s="5"/>
      <c r="G20" s="5"/>
    </row>
    <row r="21" spans="1:7" x14ac:dyDescent="0.25">
      <c r="A21" s="5" t="s">
        <v>44</v>
      </c>
      <c r="B21" s="5" t="s">
        <v>139</v>
      </c>
      <c r="C21" s="5" t="s">
        <v>45</v>
      </c>
      <c r="D21" s="5"/>
      <c r="E21" s="5"/>
      <c r="F21" s="5"/>
      <c r="G21" s="5"/>
    </row>
    <row r="22" spans="1:7" x14ac:dyDescent="0.25">
      <c r="A22" s="5" t="s">
        <v>42</v>
      </c>
      <c r="B22" s="5" t="s">
        <v>140</v>
      </c>
      <c r="C22" s="5" t="s">
        <v>43</v>
      </c>
      <c r="D22" s="5"/>
      <c r="E22" s="5"/>
      <c r="F22" s="5"/>
      <c r="G22" s="5"/>
    </row>
    <row r="23" spans="1:7" x14ac:dyDescent="0.25">
      <c r="A23" s="5" t="s">
        <v>69</v>
      </c>
      <c r="B23" s="5" t="s">
        <v>141</v>
      </c>
      <c r="C23" s="5" t="s">
        <v>70</v>
      </c>
      <c r="D23" s="5"/>
      <c r="E23" s="5"/>
      <c r="F23" s="5"/>
      <c r="G23" s="5"/>
    </row>
    <row r="24" spans="1:7" x14ac:dyDescent="0.25">
      <c r="A24" s="5" t="s">
        <v>59</v>
      </c>
      <c r="B24" s="5" t="s">
        <v>142</v>
      </c>
      <c r="C24" s="5" t="s">
        <v>60</v>
      </c>
      <c r="D24" s="5"/>
      <c r="E24" s="5"/>
      <c r="F24" s="5"/>
      <c r="G24" s="5"/>
    </row>
    <row r="25" spans="1:7" x14ac:dyDescent="0.25">
      <c r="A25" s="5" t="s">
        <v>57</v>
      </c>
      <c r="B25" s="5" t="s">
        <v>143</v>
      </c>
      <c r="C25" s="5" t="s">
        <v>58</v>
      </c>
      <c r="D25" s="5"/>
      <c r="E25" s="5"/>
      <c r="F25" s="5"/>
      <c r="G25" s="5"/>
    </row>
    <row r="26" spans="1:7" x14ac:dyDescent="0.25">
      <c r="A26" s="5" t="s">
        <v>61</v>
      </c>
      <c r="B26" s="5" t="s">
        <v>144</v>
      </c>
      <c r="C26" s="5" t="s">
        <v>62</v>
      </c>
      <c r="D26" s="5"/>
      <c r="E26" s="5"/>
      <c r="F26" s="5"/>
      <c r="G26" s="5"/>
    </row>
    <row r="27" spans="1:7" x14ac:dyDescent="0.25">
      <c r="A27" s="5" t="s">
        <v>84</v>
      </c>
      <c r="B27" s="5" t="s">
        <v>145</v>
      </c>
      <c r="C27" s="5" t="s">
        <v>85</v>
      </c>
      <c r="D27" s="5"/>
      <c r="E27" s="5"/>
      <c r="F27" s="5"/>
      <c r="G27" s="5"/>
    </row>
    <row r="28" spans="1:7" x14ac:dyDescent="0.25">
      <c r="A28" s="5" t="s">
        <v>56</v>
      </c>
      <c r="B28" s="5" t="s">
        <v>146</v>
      </c>
      <c r="C28" s="5" t="s">
        <v>55</v>
      </c>
      <c r="D28" s="5"/>
      <c r="E28" s="5"/>
      <c r="F28" s="5"/>
      <c r="G28" s="5"/>
    </row>
    <row r="29" spans="1:7" x14ac:dyDescent="0.25">
      <c r="A29" s="5" t="s">
        <v>48</v>
      </c>
      <c r="B29" s="5" t="s">
        <v>147</v>
      </c>
      <c r="C29" s="5" t="s">
        <v>49</v>
      </c>
      <c r="D29" s="5"/>
      <c r="E29" s="5"/>
      <c r="F29" s="5"/>
      <c r="G29" s="5"/>
    </row>
    <row r="30" spans="1:7" x14ac:dyDescent="0.25">
      <c r="A30" s="5" t="s">
        <v>65</v>
      </c>
      <c r="B30" s="5" t="s">
        <v>148</v>
      </c>
      <c r="C30" s="5" t="s">
        <v>66</v>
      </c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2026-07-03T14:12:48Z</dcterms:modified>
</cp:coreProperties>
</file>