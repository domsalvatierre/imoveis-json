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N:\DPAT\_GESTÃO DE IMÓVEIS\1.INFORMAÇÕES IMÓVEIS\IMÓVEIS COM REGISTRO E SEM REGISTRO\"/>
    </mc:Choice>
  </mc:AlternateContent>
  <bookViews>
    <workbookView xWindow="0" yWindow="0" windowWidth="28800" windowHeight="12300"/>
  </bookViews>
  <sheets>
    <sheet name="Bens Imóveis" sheetId="1" r:id="rId1"/>
    <sheet name="Listas" sheetId="2" r:id="rId2"/>
  </sheets>
  <externalReferences>
    <externalReference r:id="rId3"/>
  </externalReferences>
  <definedNames>
    <definedName name="_xlnm._FilterDatabase" localSheetId="0" hidden="1">'Bens Imóveis'!$A$3:$Z$23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3" i="1" l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T4" i="1" l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B4" i="1" l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</calcChain>
</file>

<file path=xl/sharedStrings.xml><?xml version="1.0" encoding="utf-8"?>
<sst xmlns="http://schemas.openxmlformats.org/spreadsheetml/2006/main" count="478" uniqueCount="201">
  <si>
    <t>ENDEREÇO</t>
  </si>
  <si>
    <t>ZONA</t>
  </si>
  <si>
    <t>CARTÓRIO</t>
  </si>
  <si>
    <t xml:space="preserve">EDIFICAÇÃO 
VALOR (R$) </t>
  </si>
  <si>
    <t>UG</t>
  </si>
  <si>
    <t>VALOR INICIAL DO BEM (R$)</t>
  </si>
  <si>
    <t>Nº AFETAÇÃO</t>
  </si>
  <si>
    <t>DOM AFETAÇÃO</t>
  </si>
  <si>
    <t>LEI DE AFETAÇÃO</t>
  </si>
  <si>
    <t>SITUAÇÃO DE USO</t>
  </si>
  <si>
    <t>ÁREA DO TERRENO (m²)</t>
  </si>
  <si>
    <t>ÁREA CONSTRUIDA (m²)</t>
  </si>
  <si>
    <t>DATA DO ÚLTIMO INVENTÁRIO</t>
  </si>
  <si>
    <t>DATA DE ENTRADA / INCORPORAÇÃO</t>
  </si>
  <si>
    <t>SITUAÇÃO USO</t>
  </si>
  <si>
    <t>Nº TOMBAMENTO</t>
  </si>
  <si>
    <t>TIPO EDIFICAÇÃO</t>
  </si>
  <si>
    <t>Prédio</t>
  </si>
  <si>
    <t>Casa</t>
  </si>
  <si>
    <t>Terreno</t>
  </si>
  <si>
    <t>Norte</t>
  </si>
  <si>
    <t>Sul</t>
  </si>
  <si>
    <t>Leste</t>
  </si>
  <si>
    <t>Oeste</t>
  </si>
  <si>
    <t>Centro-Sul</t>
  </si>
  <si>
    <t>Centro-Oeste</t>
  </si>
  <si>
    <t>Área Rural</t>
  </si>
  <si>
    <t>Área Ribeirinha</t>
  </si>
  <si>
    <t>Ocupado</t>
  </si>
  <si>
    <t>Ocioso</t>
  </si>
  <si>
    <t>Subutilizado</t>
  </si>
  <si>
    <t>Cedido</t>
  </si>
  <si>
    <t>Compartilhado</t>
  </si>
  <si>
    <t>1º Ofício</t>
  </si>
  <si>
    <t>2º Ofício</t>
  </si>
  <si>
    <t>3º Ofício</t>
  </si>
  <si>
    <t>4º Ofício</t>
  </si>
  <si>
    <t>5º Ofício</t>
  </si>
  <si>
    <t>UG - UNIDADE GESTORA</t>
  </si>
  <si>
    <t>CMM</t>
  </si>
  <si>
    <t>SECRETARIA</t>
  </si>
  <si>
    <t>Câmara Municipal de Manaus</t>
  </si>
  <si>
    <t>CC</t>
  </si>
  <si>
    <t>Casa Civil</t>
  </si>
  <si>
    <t>CC-ERB</t>
  </si>
  <si>
    <t>GVP</t>
  </si>
  <si>
    <t>Gabinete do Vice-Prefeito</t>
  </si>
  <si>
    <t>PGM</t>
  </si>
  <si>
    <t>Procuradoria Geral do Municipio</t>
  </si>
  <si>
    <t>SEMAD</t>
  </si>
  <si>
    <t>Secretaria Municipal de Administração e Gestão</t>
  </si>
  <si>
    <t>CM</t>
  </si>
  <si>
    <t>Casa Militar</t>
  </si>
  <si>
    <t>SEMEF</t>
  </si>
  <si>
    <t xml:space="preserve"> Secretaria Municipal de Finanças, Planejamento e Tecnologia da Informação</t>
  </si>
  <si>
    <t>SEMED</t>
  </si>
  <si>
    <t>Secretaria Municipal de Educação</t>
  </si>
  <si>
    <t>SEMCOM</t>
  </si>
  <si>
    <t>Secretaria Municipal de Comunicação</t>
  </si>
  <si>
    <t>SEMTEPI</t>
  </si>
  <si>
    <t>Secretaria Municipal do Trabalho, Empreendedorismo e Inovação</t>
  </si>
  <si>
    <t>CGM</t>
  </si>
  <si>
    <t>Controladoria Geral do Municipio</t>
  </si>
  <si>
    <t>UNIDADE ORÇAMENTÁRIA</t>
  </si>
  <si>
    <t>FMS</t>
  </si>
  <si>
    <t>Fundo Municipal de Saúde</t>
  </si>
  <si>
    <t>Secretaria Municipal de Segurança Pública e Defesa Social</t>
  </si>
  <si>
    <t>SEMSEG</t>
  </si>
  <si>
    <t>SEMJEL</t>
  </si>
  <si>
    <t>Secretaria Municipal de Juventude, Esporte e Lazer</t>
  </si>
  <si>
    <t>SEMINF</t>
  </si>
  <si>
    <t>Secretaria Municipal de Infraestrutura</t>
  </si>
  <si>
    <t>SEMMAS</t>
  </si>
  <si>
    <t>Secretaria de Meio Ambiente e Sustentabilidade</t>
  </si>
  <si>
    <t>SEMASC</t>
  </si>
  <si>
    <t>Secretaria Municipal da Mulher, Assistência Social e Cidadania</t>
  </si>
  <si>
    <t>SEMULSP</t>
  </si>
  <si>
    <t>Secretaria Municipal de Limpeza Urbana</t>
  </si>
  <si>
    <t>SEMACC</t>
  </si>
  <si>
    <t>Secretaria Municipal de Agricultura, Abastecimento, Centro e Comércio Informal</t>
  </si>
  <si>
    <t>SEMHAF</t>
  </si>
  <si>
    <t>Secretaria Municipal de Habitação e Assuntos Fundiários</t>
  </si>
  <si>
    <t>FDT</t>
  </si>
  <si>
    <t>Fundação Doutor Thomas</t>
  </si>
  <si>
    <t>IMPLURB</t>
  </si>
  <si>
    <t>Instituto Municipal de Planejamento Urbano</t>
  </si>
  <si>
    <t>IMMU</t>
  </si>
  <si>
    <t>Instituto Municipal de Mobilidade Urbana</t>
  </si>
  <si>
    <t>MANAUSCULT</t>
  </si>
  <si>
    <t>Fundação Municipal de Cultura, Turismo e Eventos</t>
  </si>
  <si>
    <t>MANAUSPREV</t>
  </si>
  <si>
    <t>Manaus Previdência</t>
  </si>
  <si>
    <t>AGEMAN</t>
  </si>
  <si>
    <t>Agência Reguladora dos Serviços Públicos Delegados do Município de Manaus</t>
  </si>
  <si>
    <t>Escritório de Representação em Brasília</t>
  </si>
  <si>
    <t>OESTE</t>
  </si>
  <si>
    <t>NORTE</t>
  </si>
  <si>
    <t>SUL</t>
  </si>
  <si>
    <t>CENTRO-SUL</t>
  </si>
  <si>
    <t>LESTE</t>
  </si>
  <si>
    <t>CENTRO -OESTE</t>
  </si>
  <si>
    <t>CENTRO -SUL</t>
  </si>
  <si>
    <t>3º OFÍCIO</t>
  </si>
  <si>
    <t>1º OFÍCIO</t>
  </si>
  <si>
    <t>ATIVO</t>
  </si>
  <si>
    <t>SEMSA</t>
  </si>
  <si>
    <t>Secretaria Municipal de Saúde</t>
  </si>
  <si>
    <t>CEL - Centro de Esporte e Lazer - Cidade de Deus (Miguel de Souza Reis)</t>
  </si>
  <si>
    <t>Mini Vila Olímpica Jair Sampaio (Santo Antônio)</t>
  </si>
  <si>
    <t>SIGLA UG</t>
  </si>
  <si>
    <t>Em ajuste</t>
  </si>
  <si>
    <t>TIPO DE EDIFICAÇÃO</t>
  </si>
  <si>
    <t>FINALIDADE*</t>
  </si>
  <si>
    <t>ZONA*</t>
  </si>
  <si>
    <t>SITUAÇÃO*</t>
  </si>
  <si>
    <t>CARTÓRIO*</t>
  </si>
  <si>
    <t>MATRÍCULA*</t>
  </si>
  <si>
    <t>TERRENO 
VALOR (R$)*</t>
  </si>
  <si>
    <t>VALOR TOTAL (R$)*</t>
  </si>
  <si>
    <t>DATA DA REAVALIAÇÃO*</t>
  </si>
  <si>
    <t>DATA AFETAÇÃO*</t>
  </si>
  <si>
    <t>nrTombamento</t>
  </si>
  <si>
    <t>nrAfetacao</t>
  </si>
  <si>
    <t>diarioAfetacao</t>
  </si>
  <si>
    <t>tpEdificacao</t>
  </si>
  <si>
    <t>endereco</t>
  </si>
  <si>
    <t>leiAfetacao</t>
  </si>
  <si>
    <t>situacaoUso</t>
  </si>
  <si>
    <t>codUnidadeOrcamentaria</t>
  </si>
  <si>
    <t>areaTerreno</t>
  </si>
  <si>
    <t>areaConstruida</t>
  </si>
  <si>
    <t>vlIncorporacao</t>
  </si>
  <si>
    <t>dtEntrada</t>
  </si>
  <si>
    <t>dtUltimoInventario</t>
  </si>
  <si>
    <t>SisTCE</t>
  </si>
  <si>
    <t>CEL - Centro de Esporte e Lazer - Alvorada</t>
  </si>
  <si>
    <t>CEL - Centro de Esporte e Lazer - Campos Elíseos</t>
  </si>
  <si>
    <t>CEL - Centro de Esporte e Lazer - Compensa (Dom Jackson Damasceno)</t>
  </si>
  <si>
    <t>CEL - Centro de Esporte e Lazer - Eldorado</t>
  </si>
  <si>
    <t>CEL - Centro de Esporte e Lazer - Ginásio do Zezão</t>
  </si>
  <si>
    <t>CEL - Centro de Esporte e Lazer - Japiim</t>
  </si>
  <si>
    <t>CEL - Centro de Esporte e Lazer - Ninimbeg dos Santos Guerra</t>
  </si>
  <si>
    <t>CEL - Centro de Esporte e Lazer - Redenção</t>
  </si>
  <si>
    <t>CEL - Centro de Esporte e Lazer - Rouxinol (Curió)</t>
  </si>
  <si>
    <t>CEL - Centro de Esporte e Lazer - Compensa (CSU)</t>
  </si>
  <si>
    <t>CEL - Centro de Esporte e Lazer - Santa Etelvina</t>
  </si>
  <si>
    <t>CEL - Centro de Esporte e Lazer - Santa Luzia</t>
  </si>
  <si>
    <t>CEL - Centro de Esporte e Lazer - Vale do Amanhecer</t>
  </si>
  <si>
    <t>CEL - Centro de Esporte e Lazer - Vista Bela</t>
  </si>
  <si>
    <t>CEL - Centro de Esporte e Lazer - Cidade Nova (Itaciara)</t>
  </si>
  <si>
    <t>CEL - Centro de Esporte e Lazer - Dom Pedro</t>
  </si>
  <si>
    <t>Mini Vila Olímpica Coroado</t>
  </si>
  <si>
    <t>Mini Vila Olimpica Armando Mendes</t>
  </si>
  <si>
    <t>Av. A, S/N - Alvorada - CEP 69.000-000</t>
  </si>
  <si>
    <t>Rua Gaivota, S/N - Conjunto Cidade de Deus - Cidade Nova - CEP 69.099-281</t>
  </si>
  <si>
    <t>Av. Genebra, 615 - Campos Elíseos - CEP 69.045-380</t>
  </si>
  <si>
    <t>Rua Luiz Vaz de Camões, 77 - Compensa I - CEP 69.030-070</t>
  </si>
  <si>
    <t>Av. Rondônia, S/N - Parque 10 de Novembro - CEP 69.000-000</t>
  </si>
  <si>
    <t>Rua Autaz Mirim, 5679 - São José Operário - CEP 69.085-000</t>
  </si>
  <si>
    <t>Rua A, 10 - Japiim - CEP 69.000-000</t>
  </si>
  <si>
    <t>Rua João Dary, S/N - São Jorge - CEP 69.033-430</t>
  </si>
  <si>
    <t>Tv. Olinda, S/N - Redenção - CEP 69.047-428</t>
  </si>
  <si>
    <t>Rua Rouxinol, S/N - Cidade Nova I - CEP 69.095-020</t>
  </si>
  <si>
    <t>Rua Eduardo Prado, S/N - Compensa - CEP 69.035-640</t>
  </si>
  <si>
    <t>Av. 17 de Março, S/N - Santa Etelvina - CEP 69.059-260</t>
  </si>
  <si>
    <t>Rua Guanabara, S/N - Santa Luzia - CEP 69.074-520</t>
  </si>
  <si>
    <t>Rua José Florêncio Batista, S/N - Petrópolis - CEP 69.063-395</t>
  </si>
  <si>
    <t>Rua Dom Cláudio Colling, S/N - Conjunto Vista Bela - Planalto - CEP 69.044-782</t>
  </si>
  <si>
    <t>Rua Itaciara, S/N - Cidade Nova I - CEP 69.090-190</t>
  </si>
  <si>
    <t>Av. Pedro Teixeira, S/N - Dom Pedro I - CEP 69.040-000</t>
  </si>
  <si>
    <t>Av. Cosme Ferreira, 871 - Coroado - CEP 69.082-230</t>
  </si>
  <si>
    <t>Rua Comendador Vicente Cruz, S/N - Santo Raimundo - CEP 69.029-090</t>
  </si>
  <si>
    <t>Rua 01, S/N - Armando Mendes - CEP 69.000-000</t>
  </si>
  <si>
    <t>700201</t>
  </si>
  <si>
    <t>110101</t>
  </si>
  <si>
    <t>110103</t>
  </si>
  <si>
    <t>220101</t>
  </si>
  <si>
    <t>150101</t>
  </si>
  <si>
    <t>010101</t>
  </si>
  <si>
    <t>520301</t>
  </si>
  <si>
    <t>230701</t>
  </si>
  <si>
    <t>120101</t>
  </si>
  <si>
    <t>580201</t>
  </si>
  <si>
    <t>560201</t>
  </si>
  <si>
    <t>620301</t>
  </si>
  <si>
    <t>630201</t>
  </si>
  <si>
    <t>130101</t>
  </si>
  <si>
    <t>410101</t>
  </si>
  <si>
    <t>140101</t>
  </si>
  <si>
    <t>370101</t>
  </si>
  <si>
    <t>190101</t>
  </si>
  <si>
    <t>180101</t>
  </si>
  <si>
    <t>160101</t>
  </si>
  <si>
    <t>440101</t>
  </si>
  <si>
    <t>270101</t>
  </si>
  <si>
    <t>260101</t>
  </si>
  <si>
    <t>280101</t>
  </si>
  <si>
    <t>230101</t>
  </si>
  <si>
    <t>250101</t>
  </si>
  <si>
    <t>210101</t>
  </si>
  <si>
    <t>380101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</si>
</sst>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49" fontId="6" fillId="4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14" fontId="3" fillId="3" borderId="2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EM%20IM&#211;VEL%20-%20SEMJEL_ajus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ens Imóveis"/>
      <sheetName val="Listas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3"/>
  <sheetViews>
    <sheetView tabSelected="1" zoomScaleNormal="100" workbookViewId="0">
      <pane ySplit="3" topLeftCell="A4" activePane="bottomLeft" state="frozen"/>
      <selection pane="bottomLeft" activeCell="B34" sqref="B34"/>
    </sheetView>
  </sheetViews>
  <sheetFormatPr defaultRowHeight="12.75" x14ac:dyDescent="0.2"/>
  <cols>
    <col min="1" max="1" width="11.85546875" style="4" bestFit="1" customWidth="1"/>
    <col min="2" max="2" width="71.140625" style="4" customWidth="1"/>
    <col min="3" max="3" width="102.42578125" style="4" bestFit="1" customWidth="1"/>
    <col min="4" max="4" width="14.28515625" style="4" bestFit="1" customWidth="1"/>
    <col min="5" max="5" width="20.140625" style="4" customWidth="1"/>
    <col min="6" max="6" width="9.7109375" style="4" bestFit="1" customWidth="1"/>
    <col min="7" max="7" width="26.140625" style="4" customWidth="1"/>
    <col min="8" max="8" width="21" style="4" bestFit="1" customWidth="1"/>
    <col min="9" max="9" width="14.85546875" style="4" bestFit="1" customWidth="1"/>
    <col min="10" max="11" width="15.7109375" style="4" customWidth="1"/>
    <col min="12" max="12" width="21" style="4" bestFit="1" customWidth="1"/>
    <col min="13" max="13" width="15.7109375" style="4" customWidth="1"/>
    <col min="14" max="14" width="11.85546875" style="4" bestFit="1" customWidth="1"/>
    <col min="15" max="15" width="15.7109375" style="4" customWidth="1"/>
    <col min="16" max="16" width="13.42578125" style="4" customWidth="1"/>
    <col min="17" max="17" width="98.5703125" style="4" bestFit="1" customWidth="1"/>
    <col min="18" max="18" width="20.28515625" style="4" bestFit="1" customWidth="1"/>
    <col min="19" max="19" width="15.7109375" style="4" customWidth="1"/>
    <col min="20" max="20" width="22" style="4" customWidth="1"/>
    <col min="21" max="25" width="15.7109375" style="4" customWidth="1"/>
    <col min="26" max="16384" width="9.140625" style="4"/>
  </cols>
  <sheetData>
    <row r="1" spans="1:26" s="9" customFormat="1" ht="15.75" customHeight="1" thickBot="1" x14ac:dyDescent="0.3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s="18" customFormat="1" ht="15.75" customHeight="1" x14ac:dyDescent="0.2">
      <c r="A2" s="15" t="s">
        <v>134</v>
      </c>
      <c r="B2" s="15" t="s">
        <v>134</v>
      </c>
      <c r="C2" s="17"/>
      <c r="D2" s="17"/>
      <c r="E2" s="17"/>
      <c r="F2" s="17"/>
      <c r="G2" s="17"/>
      <c r="H2" s="17"/>
      <c r="I2" s="17"/>
      <c r="J2" s="17"/>
      <c r="K2" s="14"/>
      <c r="L2" s="17" t="s">
        <v>134</v>
      </c>
      <c r="M2" s="16" t="s">
        <v>121</v>
      </c>
      <c r="N2" s="15" t="s">
        <v>122</v>
      </c>
      <c r="O2" s="15" t="s">
        <v>123</v>
      </c>
      <c r="P2" s="15" t="s">
        <v>124</v>
      </c>
      <c r="Q2" s="15" t="s">
        <v>125</v>
      </c>
      <c r="R2" s="15" t="s">
        <v>126</v>
      </c>
      <c r="S2" s="15" t="s">
        <v>127</v>
      </c>
      <c r="T2" s="15" t="s">
        <v>128</v>
      </c>
      <c r="U2" s="15" t="s">
        <v>129</v>
      </c>
      <c r="V2" s="15" t="s">
        <v>130</v>
      </c>
      <c r="W2" s="15" t="s">
        <v>131</v>
      </c>
      <c r="X2" s="15" t="s">
        <v>132</v>
      </c>
      <c r="Y2" s="15" t="s">
        <v>133</v>
      </c>
    </row>
    <row r="3" spans="1:26" s="2" customFormat="1" ht="25.5" customHeight="1" thickBot="1" x14ac:dyDescent="0.3">
      <c r="A3" s="10" t="s">
        <v>109</v>
      </c>
      <c r="B3" s="11" t="s">
        <v>38</v>
      </c>
      <c r="C3" s="11" t="s">
        <v>112</v>
      </c>
      <c r="D3" s="11" t="s">
        <v>113</v>
      </c>
      <c r="E3" s="11" t="s">
        <v>114</v>
      </c>
      <c r="F3" s="11" t="s">
        <v>115</v>
      </c>
      <c r="G3" s="11" t="s">
        <v>116</v>
      </c>
      <c r="H3" s="11" t="s">
        <v>117</v>
      </c>
      <c r="I3" s="11" t="s">
        <v>118</v>
      </c>
      <c r="J3" s="11" t="s">
        <v>119</v>
      </c>
      <c r="K3" s="11" t="s">
        <v>120</v>
      </c>
      <c r="L3" s="11" t="s">
        <v>3</v>
      </c>
      <c r="M3" s="11" t="s">
        <v>15</v>
      </c>
      <c r="N3" s="11" t="s">
        <v>6</v>
      </c>
      <c r="O3" s="11" t="s">
        <v>7</v>
      </c>
      <c r="P3" s="11" t="s">
        <v>111</v>
      </c>
      <c r="Q3" s="11" t="s">
        <v>0</v>
      </c>
      <c r="R3" s="11" t="s">
        <v>8</v>
      </c>
      <c r="S3" s="11" t="s">
        <v>9</v>
      </c>
      <c r="T3" s="11" t="s">
        <v>63</v>
      </c>
      <c r="U3" s="11" t="s">
        <v>10</v>
      </c>
      <c r="V3" s="11" t="s">
        <v>11</v>
      </c>
      <c r="W3" s="11" t="s">
        <v>5</v>
      </c>
      <c r="X3" s="11" t="s">
        <v>13</v>
      </c>
      <c r="Y3" s="12" t="s">
        <v>12</v>
      </c>
    </row>
    <row r="4" spans="1:26" x14ac:dyDescent="0.2">
      <c r="A4" s="22" t="s">
        <v>68</v>
      </c>
      <c r="B4" s="3" t="str">
        <f>VLOOKUP(A4,Listas!A$3:C$30,3,0)</f>
        <v>Secretaria Municipal de Juventude, Esporte e Lazer</v>
      </c>
      <c r="C4" s="23" t="s">
        <v>135</v>
      </c>
      <c r="D4" s="22" t="s">
        <v>100</v>
      </c>
      <c r="E4" s="19" t="s">
        <v>104</v>
      </c>
      <c r="F4" s="22"/>
      <c r="G4" s="22"/>
      <c r="H4" s="24"/>
      <c r="I4" s="24">
        <f t="shared" ref="I4:I22" si="0">H4+L4</f>
        <v>0</v>
      </c>
      <c r="J4" s="22"/>
      <c r="K4" s="22" t="s">
        <v>110</v>
      </c>
      <c r="L4" s="24">
        <v>0</v>
      </c>
      <c r="M4" s="21">
        <v>505</v>
      </c>
      <c r="N4" s="25" t="s">
        <v>110</v>
      </c>
      <c r="O4" s="22" t="s">
        <v>110</v>
      </c>
      <c r="P4" s="22" t="s">
        <v>110</v>
      </c>
      <c r="Q4" s="23" t="s">
        <v>153</v>
      </c>
      <c r="R4" s="22" t="s">
        <v>110</v>
      </c>
      <c r="S4" s="22" t="s">
        <v>110</v>
      </c>
      <c r="T4" s="8" t="str">
        <f>VLOOKUP(A4,Listas!A$3:C$30,2,0)</f>
        <v>260101</v>
      </c>
      <c r="U4" s="19" t="s">
        <v>110</v>
      </c>
      <c r="V4" s="19" t="s">
        <v>110</v>
      </c>
      <c r="W4" s="20" t="s">
        <v>110</v>
      </c>
      <c r="X4" s="19" t="s">
        <v>110</v>
      </c>
      <c r="Y4" s="19" t="s">
        <v>110</v>
      </c>
    </row>
    <row r="5" spans="1:26" x14ac:dyDescent="0.2">
      <c r="A5" s="22" t="s">
        <v>68</v>
      </c>
      <c r="B5" s="3" t="str">
        <f>VLOOKUP(A5,Listas!A$3:C$30,3,0)</f>
        <v>Secretaria Municipal de Juventude, Esporte e Lazer</v>
      </c>
      <c r="C5" s="23" t="s">
        <v>107</v>
      </c>
      <c r="D5" s="22" t="s">
        <v>96</v>
      </c>
      <c r="E5" s="19" t="s">
        <v>104</v>
      </c>
      <c r="F5" s="22"/>
      <c r="G5" s="22"/>
      <c r="H5" s="24"/>
      <c r="I5" s="24">
        <f t="shared" si="0"/>
        <v>0</v>
      </c>
      <c r="J5" s="22"/>
      <c r="K5" s="22" t="s">
        <v>110</v>
      </c>
      <c r="L5" s="24">
        <v>0</v>
      </c>
      <c r="M5" s="21">
        <v>506</v>
      </c>
      <c r="N5" s="25" t="s">
        <v>110</v>
      </c>
      <c r="O5" s="22" t="s">
        <v>110</v>
      </c>
      <c r="P5" s="22" t="s">
        <v>110</v>
      </c>
      <c r="Q5" s="23" t="s">
        <v>154</v>
      </c>
      <c r="R5" s="22" t="s">
        <v>110</v>
      </c>
      <c r="S5" s="22" t="s">
        <v>110</v>
      </c>
      <c r="T5" s="8" t="str">
        <f>VLOOKUP(A5,Listas!A$3:C$30,2,0)</f>
        <v>260101</v>
      </c>
      <c r="U5" s="19" t="s">
        <v>110</v>
      </c>
      <c r="V5" s="19" t="s">
        <v>110</v>
      </c>
      <c r="W5" s="20" t="s">
        <v>110</v>
      </c>
      <c r="X5" s="19" t="s">
        <v>110</v>
      </c>
      <c r="Y5" s="19" t="s">
        <v>110</v>
      </c>
    </row>
    <row r="6" spans="1:26" x14ac:dyDescent="0.2">
      <c r="A6" s="22" t="s">
        <v>68</v>
      </c>
      <c r="B6" s="3" t="str">
        <f>VLOOKUP(A6,Listas!A$3:C$30,3,0)</f>
        <v>Secretaria Municipal de Juventude, Esporte e Lazer</v>
      </c>
      <c r="C6" s="23" t="s">
        <v>136</v>
      </c>
      <c r="D6" s="22" t="s">
        <v>100</v>
      </c>
      <c r="E6" s="19" t="s">
        <v>104</v>
      </c>
      <c r="F6" s="22"/>
      <c r="G6" s="22"/>
      <c r="H6" s="24"/>
      <c r="I6" s="24">
        <f t="shared" si="0"/>
        <v>0</v>
      </c>
      <c r="J6" s="22"/>
      <c r="K6" s="22" t="s">
        <v>110</v>
      </c>
      <c r="L6" s="24">
        <v>0</v>
      </c>
      <c r="M6" s="21">
        <v>507</v>
      </c>
      <c r="N6" s="25" t="s">
        <v>110</v>
      </c>
      <c r="O6" s="22" t="s">
        <v>110</v>
      </c>
      <c r="P6" s="22" t="s">
        <v>110</v>
      </c>
      <c r="Q6" s="23" t="s">
        <v>155</v>
      </c>
      <c r="R6" s="22" t="s">
        <v>110</v>
      </c>
      <c r="S6" s="22" t="s">
        <v>110</v>
      </c>
      <c r="T6" s="8" t="str">
        <f>VLOOKUP(A6,Listas!A$3:C$30,2,0)</f>
        <v>260101</v>
      </c>
      <c r="U6" s="19" t="s">
        <v>110</v>
      </c>
      <c r="V6" s="19" t="s">
        <v>110</v>
      </c>
      <c r="W6" s="20" t="s">
        <v>110</v>
      </c>
      <c r="X6" s="19" t="s">
        <v>110</v>
      </c>
      <c r="Y6" s="19" t="s">
        <v>110</v>
      </c>
    </row>
    <row r="7" spans="1:26" x14ac:dyDescent="0.2">
      <c r="A7" s="22" t="s">
        <v>68</v>
      </c>
      <c r="B7" s="3" t="str">
        <f>VLOOKUP(A7,Listas!A$3:C$30,3,0)</f>
        <v>Secretaria Municipal de Juventude, Esporte e Lazer</v>
      </c>
      <c r="C7" s="23" t="s">
        <v>137</v>
      </c>
      <c r="D7" s="22" t="s">
        <v>95</v>
      </c>
      <c r="E7" s="19" t="s">
        <v>104</v>
      </c>
      <c r="F7" s="22"/>
      <c r="G7" s="22"/>
      <c r="H7" s="24"/>
      <c r="I7" s="24">
        <f t="shared" si="0"/>
        <v>0</v>
      </c>
      <c r="J7" s="22"/>
      <c r="K7" s="22" t="s">
        <v>110</v>
      </c>
      <c r="L7" s="24">
        <v>0</v>
      </c>
      <c r="M7" s="21">
        <v>508</v>
      </c>
      <c r="N7" s="25" t="s">
        <v>110</v>
      </c>
      <c r="O7" s="22" t="s">
        <v>110</v>
      </c>
      <c r="P7" s="22" t="s">
        <v>110</v>
      </c>
      <c r="Q7" s="23" t="s">
        <v>156</v>
      </c>
      <c r="R7" s="22" t="s">
        <v>110</v>
      </c>
      <c r="S7" s="22" t="s">
        <v>110</v>
      </c>
      <c r="T7" s="8" t="str">
        <f>VLOOKUP(A7,Listas!A$3:C$30,2,0)</f>
        <v>260101</v>
      </c>
      <c r="U7" s="19" t="s">
        <v>110</v>
      </c>
      <c r="V7" s="19" t="s">
        <v>110</v>
      </c>
      <c r="W7" s="20" t="s">
        <v>110</v>
      </c>
      <c r="X7" s="19" t="s">
        <v>110</v>
      </c>
      <c r="Y7" s="19" t="s">
        <v>110</v>
      </c>
    </row>
    <row r="8" spans="1:26" x14ac:dyDescent="0.2">
      <c r="A8" s="22" t="s">
        <v>68</v>
      </c>
      <c r="B8" s="3" t="str">
        <f>VLOOKUP(A8,Listas!A$3:C$30,3,0)</f>
        <v>Secretaria Municipal de Juventude, Esporte e Lazer</v>
      </c>
      <c r="C8" s="23" t="s">
        <v>138</v>
      </c>
      <c r="D8" s="22" t="s">
        <v>101</v>
      </c>
      <c r="E8" s="19" t="s">
        <v>104</v>
      </c>
      <c r="F8" s="22"/>
      <c r="G8" s="22"/>
      <c r="H8" s="24"/>
      <c r="I8" s="24">
        <f t="shared" si="0"/>
        <v>0</v>
      </c>
      <c r="J8" s="22"/>
      <c r="K8" s="22" t="s">
        <v>110</v>
      </c>
      <c r="L8" s="24">
        <v>0</v>
      </c>
      <c r="M8" s="21">
        <v>509</v>
      </c>
      <c r="N8" s="25" t="s">
        <v>110</v>
      </c>
      <c r="O8" s="22" t="s">
        <v>110</v>
      </c>
      <c r="P8" s="22" t="s">
        <v>110</v>
      </c>
      <c r="Q8" s="23" t="s">
        <v>157</v>
      </c>
      <c r="R8" s="22" t="s">
        <v>110</v>
      </c>
      <c r="S8" s="22" t="s">
        <v>110</v>
      </c>
      <c r="T8" s="8" t="str">
        <f>VLOOKUP(A8,Listas!A$3:C$30,2,0)</f>
        <v>260101</v>
      </c>
      <c r="U8" s="19" t="s">
        <v>110</v>
      </c>
      <c r="V8" s="19" t="s">
        <v>110</v>
      </c>
      <c r="W8" s="20" t="s">
        <v>110</v>
      </c>
      <c r="X8" s="19" t="s">
        <v>110</v>
      </c>
      <c r="Y8" s="19" t="s">
        <v>110</v>
      </c>
    </row>
    <row r="9" spans="1:26" x14ac:dyDescent="0.2">
      <c r="A9" s="22" t="s">
        <v>68</v>
      </c>
      <c r="B9" s="3" t="str">
        <f>VLOOKUP(A9,Listas!A$3:C$30,3,0)</f>
        <v>Secretaria Municipal de Juventude, Esporte e Lazer</v>
      </c>
      <c r="C9" s="23" t="s">
        <v>139</v>
      </c>
      <c r="D9" s="22" t="s">
        <v>99</v>
      </c>
      <c r="E9" s="19" t="s">
        <v>104</v>
      </c>
      <c r="F9" s="22"/>
      <c r="G9" s="22"/>
      <c r="H9" s="24"/>
      <c r="I9" s="24">
        <f t="shared" si="0"/>
        <v>0</v>
      </c>
      <c r="J9" s="22"/>
      <c r="K9" s="22" t="s">
        <v>110</v>
      </c>
      <c r="L9" s="24">
        <v>0</v>
      </c>
      <c r="M9" s="21">
        <v>510</v>
      </c>
      <c r="N9" s="25" t="s">
        <v>110</v>
      </c>
      <c r="O9" s="22" t="s">
        <v>110</v>
      </c>
      <c r="P9" s="22" t="s">
        <v>110</v>
      </c>
      <c r="Q9" s="23" t="s">
        <v>158</v>
      </c>
      <c r="R9" s="22" t="s">
        <v>110</v>
      </c>
      <c r="S9" s="22" t="s">
        <v>110</v>
      </c>
      <c r="T9" s="8" t="str">
        <f>VLOOKUP(A9,Listas!A$3:C$30,2,0)</f>
        <v>260101</v>
      </c>
      <c r="U9" s="19" t="s">
        <v>110</v>
      </c>
      <c r="V9" s="19" t="s">
        <v>110</v>
      </c>
      <c r="W9" s="20" t="s">
        <v>110</v>
      </c>
      <c r="X9" s="19" t="s">
        <v>110</v>
      </c>
      <c r="Y9" s="19" t="s">
        <v>110</v>
      </c>
    </row>
    <row r="10" spans="1:26" x14ac:dyDescent="0.2">
      <c r="A10" s="22" t="s">
        <v>68</v>
      </c>
      <c r="B10" s="3" t="str">
        <f>VLOOKUP(A10,Listas!A$3:C$30,3,0)</f>
        <v>Secretaria Municipal de Juventude, Esporte e Lazer</v>
      </c>
      <c r="C10" s="23" t="s">
        <v>140</v>
      </c>
      <c r="D10" s="22" t="s">
        <v>97</v>
      </c>
      <c r="E10" s="19" t="s">
        <v>104</v>
      </c>
      <c r="F10" s="22"/>
      <c r="G10" s="22"/>
      <c r="H10" s="24"/>
      <c r="I10" s="24">
        <f t="shared" si="0"/>
        <v>0</v>
      </c>
      <c r="J10" s="22"/>
      <c r="K10" s="22" t="s">
        <v>110</v>
      </c>
      <c r="L10" s="24">
        <v>0</v>
      </c>
      <c r="M10" s="21">
        <v>511</v>
      </c>
      <c r="N10" s="25" t="s">
        <v>110</v>
      </c>
      <c r="O10" s="22" t="s">
        <v>110</v>
      </c>
      <c r="P10" s="22" t="s">
        <v>110</v>
      </c>
      <c r="Q10" s="23" t="s">
        <v>159</v>
      </c>
      <c r="R10" s="22" t="s">
        <v>110</v>
      </c>
      <c r="S10" s="22" t="s">
        <v>110</v>
      </c>
      <c r="T10" s="8" t="str">
        <f>VLOOKUP(A10,Listas!A$3:C$30,2,0)</f>
        <v>260101</v>
      </c>
      <c r="U10" s="19" t="s">
        <v>110</v>
      </c>
      <c r="V10" s="19" t="s">
        <v>110</v>
      </c>
      <c r="W10" s="20" t="s">
        <v>110</v>
      </c>
      <c r="X10" s="19" t="s">
        <v>110</v>
      </c>
      <c r="Y10" s="19" t="s">
        <v>110</v>
      </c>
    </row>
    <row r="11" spans="1:26" x14ac:dyDescent="0.2">
      <c r="A11" s="22" t="s">
        <v>68</v>
      </c>
      <c r="B11" s="3" t="str">
        <f>VLOOKUP(A11,Listas!A$3:C$30,3,0)</f>
        <v>Secretaria Municipal de Juventude, Esporte e Lazer</v>
      </c>
      <c r="C11" s="23" t="s">
        <v>141</v>
      </c>
      <c r="D11" s="22" t="s">
        <v>95</v>
      </c>
      <c r="E11" s="19" t="s">
        <v>104</v>
      </c>
      <c r="F11" s="22"/>
      <c r="G11" s="22"/>
      <c r="H11" s="24"/>
      <c r="I11" s="24">
        <f t="shared" si="0"/>
        <v>0</v>
      </c>
      <c r="J11" s="22"/>
      <c r="K11" s="22" t="s">
        <v>110</v>
      </c>
      <c r="L11" s="24">
        <v>0</v>
      </c>
      <c r="M11" s="21">
        <v>512</v>
      </c>
      <c r="N11" s="25" t="s">
        <v>110</v>
      </c>
      <c r="O11" s="22" t="s">
        <v>110</v>
      </c>
      <c r="P11" s="22" t="s">
        <v>110</v>
      </c>
      <c r="Q11" s="23" t="s">
        <v>160</v>
      </c>
      <c r="R11" s="22" t="s">
        <v>110</v>
      </c>
      <c r="S11" s="22" t="s">
        <v>110</v>
      </c>
      <c r="T11" s="8" t="str">
        <f>VLOOKUP(A11,Listas!A$3:C$30,2,0)</f>
        <v>260101</v>
      </c>
      <c r="U11" s="19" t="s">
        <v>110</v>
      </c>
      <c r="V11" s="19" t="s">
        <v>110</v>
      </c>
      <c r="W11" s="20" t="s">
        <v>110</v>
      </c>
      <c r="X11" s="19" t="s">
        <v>110</v>
      </c>
      <c r="Y11" s="19" t="s">
        <v>110</v>
      </c>
    </row>
    <row r="12" spans="1:26" x14ac:dyDescent="0.2">
      <c r="A12" s="22" t="s">
        <v>68</v>
      </c>
      <c r="B12" s="3" t="str">
        <f>VLOOKUP(A12,Listas!A$3:C$30,3,0)</f>
        <v>Secretaria Municipal de Juventude, Esporte e Lazer</v>
      </c>
      <c r="C12" s="23" t="s">
        <v>142</v>
      </c>
      <c r="D12" s="22" t="s">
        <v>100</v>
      </c>
      <c r="E12" s="19" t="s">
        <v>104</v>
      </c>
      <c r="F12" s="22"/>
      <c r="G12" s="22"/>
      <c r="H12" s="24"/>
      <c r="I12" s="24">
        <f t="shared" si="0"/>
        <v>0</v>
      </c>
      <c r="J12" s="22"/>
      <c r="K12" s="22" t="s">
        <v>110</v>
      </c>
      <c r="L12" s="24">
        <v>0</v>
      </c>
      <c r="M12" s="21">
        <v>513</v>
      </c>
      <c r="N12" s="25" t="s">
        <v>110</v>
      </c>
      <c r="O12" s="22" t="s">
        <v>110</v>
      </c>
      <c r="P12" s="22" t="s">
        <v>110</v>
      </c>
      <c r="Q12" s="23" t="s">
        <v>161</v>
      </c>
      <c r="R12" s="22" t="s">
        <v>110</v>
      </c>
      <c r="S12" s="22" t="s">
        <v>110</v>
      </c>
      <c r="T12" s="8" t="str">
        <f>VLOOKUP(A12,Listas!A$3:C$30,2,0)</f>
        <v>260101</v>
      </c>
      <c r="U12" s="19" t="s">
        <v>110</v>
      </c>
      <c r="V12" s="19" t="s">
        <v>110</v>
      </c>
      <c r="W12" s="20" t="s">
        <v>110</v>
      </c>
      <c r="X12" s="19" t="s">
        <v>110</v>
      </c>
      <c r="Y12" s="19" t="s">
        <v>110</v>
      </c>
    </row>
    <row r="13" spans="1:26" x14ac:dyDescent="0.2">
      <c r="A13" s="22" t="s">
        <v>68</v>
      </c>
      <c r="B13" s="3" t="str">
        <f>VLOOKUP(A13,Listas!A$3:C$30,3,0)</f>
        <v>Secretaria Municipal de Juventude, Esporte e Lazer</v>
      </c>
      <c r="C13" s="23" t="s">
        <v>143</v>
      </c>
      <c r="D13" s="22" t="s">
        <v>96</v>
      </c>
      <c r="E13" s="19" t="s">
        <v>104</v>
      </c>
      <c r="F13" s="22"/>
      <c r="G13" s="22"/>
      <c r="H13" s="24"/>
      <c r="I13" s="24">
        <f t="shared" si="0"/>
        <v>0</v>
      </c>
      <c r="J13" s="22"/>
      <c r="K13" s="22" t="s">
        <v>110</v>
      </c>
      <c r="L13" s="24">
        <v>0</v>
      </c>
      <c r="M13" s="21">
        <v>514</v>
      </c>
      <c r="N13" s="25" t="s">
        <v>110</v>
      </c>
      <c r="O13" s="22" t="s">
        <v>110</v>
      </c>
      <c r="P13" s="22" t="s">
        <v>110</v>
      </c>
      <c r="Q13" s="23" t="s">
        <v>162</v>
      </c>
      <c r="R13" s="22" t="s">
        <v>110</v>
      </c>
      <c r="S13" s="22" t="s">
        <v>110</v>
      </c>
      <c r="T13" s="8" t="str">
        <f>VLOOKUP(A13,Listas!A$3:C$30,2,0)</f>
        <v>260101</v>
      </c>
      <c r="U13" s="19" t="s">
        <v>110</v>
      </c>
      <c r="V13" s="19" t="s">
        <v>110</v>
      </c>
      <c r="W13" s="20" t="s">
        <v>110</v>
      </c>
      <c r="X13" s="19" t="s">
        <v>110</v>
      </c>
      <c r="Y13" s="19" t="s">
        <v>110</v>
      </c>
    </row>
    <row r="14" spans="1:26" x14ac:dyDescent="0.2">
      <c r="A14" s="22" t="s">
        <v>68</v>
      </c>
      <c r="B14" s="3" t="str">
        <f>VLOOKUP(A14,Listas!A$3:C$30,3,0)</f>
        <v>Secretaria Municipal de Juventude, Esporte e Lazer</v>
      </c>
      <c r="C14" s="23" t="s">
        <v>144</v>
      </c>
      <c r="D14" s="22" t="s">
        <v>95</v>
      </c>
      <c r="E14" s="19" t="s">
        <v>104</v>
      </c>
      <c r="F14" s="22"/>
      <c r="G14" s="22"/>
      <c r="H14" s="24"/>
      <c r="I14" s="24">
        <f t="shared" si="0"/>
        <v>0</v>
      </c>
      <c r="J14" s="22"/>
      <c r="K14" s="22" t="s">
        <v>110</v>
      </c>
      <c r="L14" s="24">
        <v>0</v>
      </c>
      <c r="M14" s="21">
        <v>515</v>
      </c>
      <c r="N14" s="25" t="s">
        <v>110</v>
      </c>
      <c r="O14" s="22" t="s">
        <v>110</v>
      </c>
      <c r="P14" s="22" t="s">
        <v>110</v>
      </c>
      <c r="Q14" s="23" t="s">
        <v>163</v>
      </c>
      <c r="R14" s="22" t="s">
        <v>110</v>
      </c>
      <c r="S14" s="22" t="s">
        <v>110</v>
      </c>
      <c r="T14" s="8" t="str">
        <f>VLOOKUP(A14,Listas!A$3:C$30,2,0)</f>
        <v>260101</v>
      </c>
      <c r="U14" s="19" t="s">
        <v>110</v>
      </c>
      <c r="V14" s="19" t="s">
        <v>110</v>
      </c>
      <c r="W14" s="20" t="s">
        <v>110</v>
      </c>
      <c r="X14" s="19" t="s">
        <v>110</v>
      </c>
      <c r="Y14" s="19" t="s">
        <v>110</v>
      </c>
    </row>
    <row r="15" spans="1:26" x14ac:dyDescent="0.2">
      <c r="A15" s="22" t="s">
        <v>68</v>
      </c>
      <c r="B15" s="3" t="str">
        <f>VLOOKUP(A15,Listas!A$3:C$30,3,0)</f>
        <v>Secretaria Municipal de Juventude, Esporte e Lazer</v>
      </c>
      <c r="C15" s="23" t="s">
        <v>145</v>
      </c>
      <c r="D15" s="22" t="s">
        <v>96</v>
      </c>
      <c r="E15" s="19" t="s">
        <v>104</v>
      </c>
      <c r="F15" s="22"/>
      <c r="G15" s="22"/>
      <c r="H15" s="24"/>
      <c r="I15" s="24">
        <f t="shared" si="0"/>
        <v>0</v>
      </c>
      <c r="J15" s="22"/>
      <c r="K15" s="22" t="s">
        <v>110</v>
      </c>
      <c r="L15" s="24">
        <v>0</v>
      </c>
      <c r="M15" s="21">
        <v>516</v>
      </c>
      <c r="N15" s="25" t="s">
        <v>110</v>
      </c>
      <c r="O15" s="22" t="s">
        <v>110</v>
      </c>
      <c r="P15" s="22" t="s">
        <v>110</v>
      </c>
      <c r="Q15" s="23" t="s">
        <v>164</v>
      </c>
      <c r="R15" s="22" t="s">
        <v>110</v>
      </c>
      <c r="S15" s="22" t="s">
        <v>110</v>
      </c>
      <c r="T15" s="8" t="str">
        <f>VLOOKUP(A15,Listas!A$3:C$30,2,0)</f>
        <v>260101</v>
      </c>
      <c r="U15" s="19" t="s">
        <v>110</v>
      </c>
      <c r="V15" s="19" t="s">
        <v>110</v>
      </c>
      <c r="W15" s="20" t="s">
        <v>110</v>
      </c>
      <c r="X15" s="19" t="s">
        <v>110</v>
      </c>
      <c r="Y15" s="19" t="s">
        <v>110</v>
      </c>
    </row>
    <row r="16" spans="1:26" x14ac:dyDescent="0.2">
      <c r="A16" s="22" t="s">
        <v>68</v>
      </c>
      <c r="B16" s="3" t="str">
        <f>VLOOKUP(A16,Listas!A$3:C$30,3,0)</f>
        <v>Secretaria Municipal de Juventude, Esporte e Lazer</v>
      </c>
      <c r="C16" s="23" t="s">
        <v>146</v>
      </c>
      <c r="D16" s="22" t="s">
        <v>97</v>
      </c>
      <c r="E16" s="19" t="s">
        <v>104</v>
      </c>
      <c r="F16" s="22"/>
      <c r="G16" s="22"/>
      <c r="H16" s="24"/>
      <c r="I16" s="24">
        <f t="shared" si="0"/>
        <v>0</v>
      </c>
      <c r="J16" s="22"/>
      <c r="K16" s="22" t="s">
        <v>110</v>
      </c>
      <c r="L16" s="24">
        <v>0</v>
      </c>
      <c r="M16" s="21">
        <v>517</v>
      </c>
      <c r="N16" s="25" t="s">
        <v>110</v>
      </c>
      <c r="O16" s="22" t="s">
        <v>110</v>
      </c>
      <c r="P16" s="22" t="s">
        <v>110</v>
      </c>
      <c r="Q16" s="23" t="s">
        <v>165</v>
      </c>
      <c r="R16" s="22" t="s">
        <v>110</v>
      </c>
      <c r="S16" s="22" t="s">
        <v>110</v>
      </c>
      <c r="T16" s="8" t="str">
        <f>VLOOKUP(A16,Listas!A$3:C$30,2,0)</f>
        <v>260101</v>
      </c>
      <c r="U16" s="19" t="s">
        <v>110</v>
      </c>
      <c r="V16" s="19" t="s">
        <v>110</v>
      </c>
      <c r="W16" s="20" t="s">
        <v>110</v>
      </c>
      <c r="X16" s="19" t="s">
        <v>110</v>
      </c>
      <c r="Y16" s="19" t="s">
        <v>110</v>
      </c>
    </row>
    <row r="17" spans="1:25" x14ac:dyDescent="0.2">
      <c r="A17" s="22" t="s">
        <v>68</v>
      </c>
      <c r="B17" s="3" t="str">
        <f>VLOOKUP(A17,Listas!A$3:C$30,3,0)</f>
        <v>Secretaria Municipal de Juventude, Esporte e Lazer</v>
      </c>
      <c r="C17" s="23" t="s">
        <v>147</v>
      </c>
      <c r="D17" s="22" t="s">
        <v>97</v>
      </c>
      <c r="E17" s="19" t="s">
        <v>104</v>
      </c>
      <c r="F17" s="22"/>
      <c r="G17" s="22"/>
      <c r="H17" s="24"/>
      <c r="I17" s="24">
        <f t="shared" si="0"/>
        <v>0</v>
      </c>
      <c r="J17" s="22"/>
      <c r="K17" s="22" t="s">
        <v>110</v>
      </c>
      <c r="L17" s="24">
        <v>0</v>
      </c>
      <c r="M17" s="21">
        <v>518</v>
      </c>
      <c r="N17" s="25" t="s">
        <v>110</v>
      </c>
      <c r="O17" s="22" t="s">
        <v>110</v>
      </c>
      <c r="P17" s="22" t="s">
        <v>110</v>
      </c>
      <c r="Q17" s="23" t="s">
        <v>166</v>
      </c>
      <c r="R17" s="22" t="s">
        <v>110</v>
      </c>
      <c r="S17" s="22" t="s">
        <v>110</v>
      </c>
      <c r="T17" s="8" t="str">
        <f>VLOOKUP(A17,Listas!A$3:C$30,2,0)</f>
        <v>260101</v>
      </c>
      <c r="U17" s="19" t="s">
        <v>110</v>
      </c>
      <c r="V17" s="19" t="s">
        <v>110</v>
      </c>
      <c r="W17" s="20" t="s">
        <v>110</v>
      </c>
      <c r="X17" s="19" t="s">
        <v>110</v>
      </c>
      <c r="Y17" s="19" t="s">
        <v>110</v>
      </c>
    </row>
    <row r="18" spans="1:25" x14ac:dyDescent="0.2">
      <c r="A18" s="22" t="s">
        <v>68</v>
      </c>
      <c r="B18" s="3" t="str">
        <f>VLOOKUP(A18,Listas!A$3:C$30,3,0)</f>
        <v>Secretaria Municipal de Juventude, Esporte e Lazer</v>
      </c>
      <c r="C18" s="23" t="s">
        <v>148</v>
      </c>
      <c r="D18" s="22" t="s">
        <v>100</v>
      </c>
      <c r="E18" s="19" t="s">
        <v>104</v>
      </c>
      <c r="F18" s="22"/>
      <c r="G18" s="22"/>
      <c r="H18" s="24"/>
      <c r="I18" s="24">
        <f t="shared" si="0"/>
        <v>0</v>
      </c>
      <c r="J18" s="22"/>
      <c r="K18" s="22" t="s">
        <v>110</v>
      </c>
      <c r="L18" s="24">
        <v>0</v>
      </c>
      <c r="M18" s="21">
        <v>519</v>
      </c>
      <c r="N18" s="25" t="s">
        <v>110</v>
      </c>
      <c r="O18" s="22" t="s">
        <v>110</v>
      </c>
      <c r="P18" s="22" t="s">
        <v>110</v>
      </c>
      <c r="Q18" s="23" t="s">
        <v>167</v>
      </c>
      <c r="R18" s="22" t="s">
        <v>110</v>
      </c>
      <c r="S18" s="22" t="s">
        <v>110</v>
      </c>
      <c r="T18" s="8" t="str">
        <f>VLOOKUP(A18,Listas!A$3:C$30,2,0)</f>
        <v>260101</v>
      </c>
      <c r="U18" s="19" t="s">
        <v>110</v>
      </c>
      <c r="V18" s="19" t="s">
        <v>110</v>
      </c>
      <c r="W18" s="20" t="s">
        <v>110</v>
      </c>
      <c r="X18" s="19" t="s">
        <v>110</v>
      </c>
      <c r="Y18" s="19" t="s">
        <v>110</v>
      </c>
    </row>
    <row r="19" spans="1:25" x14ac:dyDescent="0.2">
      <c r="A19" s="22" t="s">
        <v>68</v>
      </c>
      <c r="B19" s="3" t="str">
        <f>VLOOKUP(A19,Listas!A$3:C$30,3,0)</f>
        <v>Secretaria Municipal de Juventude, Esporte e Lazer</v>
      </c>
      <c r="C19" s="23" t="s">
        <v>149</v>
      </c>
      <c r="D19" s="22" t="s">
        <v>96</v>
      </c>
      <c r="E19" s="19" t="s">
        <v>104</v>
      </c>
      <c r="F19" s="22"/>
      <c r="G19" s="22"/>
      <c r="H19" s="24"/>
      <c r="I19" s="24">
        <f t="shared" si="0"/>
        <v>0</v>
      </c>
      <c r="J19" s="22"/>
      <c r="K19" s="22" t="s">
        <v>110</v>
      </c>
      <c r="L19" s="24">
        <v>0</v>
      </c>
      <c r="M19" s="21">
        <v>520</v>
      </c>
      <c r="N19" s="25" t="s">
        <v>110</v>
      </c>
      <c r="O19" s="22" t="s">
        <v>110</v>
      </c>
      <c r="P19" s="22" t="s">
        <v>110</v>
      </c>
      <c r="Q19" s="23" t="s">
        <v>168</v>
      </c>
      <c r="R19" s="22" t="s">
        <v>110</v>
      </c>
      <c r="S19" s="22" t="s">
        <v>110</v>
      </c>
      <c r="T19" s="8" t="str">
        <f>VLOOKUP(A19,Listas!A$3:C$30,2,0)</f>
        <v>260101</v>
      </c>
      <c r="U19" s="19" t="s">
        <v>110</v>
      </c>
      <c r="V19" s="19" t="s">
        <v>110</v>
      </c>
      <c r="W19" s="20" t="s">
        <v>110</v>
      </c>
      <c r="X19" s="19" t="s">
        <v>110</v>
      </c>
      <c r="Y19" s="19" t="s">
        <v>110</v>
      </c>
    </row>
    <row r="20" spans="1:25" x14ac:dyDescent="0.2">
      <c r="A20" s="22" t="s">
        <v>68</v>
      </c>
      <c r="B20" s="3" t="str">
        <f>VLOOKUP(A20,Listas!A$3:C$30,3,0)</f>
        <v>Secretaria Municipal de Juventude, Esporte e Lazer</v>
      </c>
      <c r="C20" s="23" t="s">
        <v>150</v>
      </c>
      <c r="D20" s="22" t="s">
        <v>98</v>
      </c>
      <c r="E20" s="19" t="s">
        <v>104</v>
      </c>
      <c r="F20" s="22" t="s">
        <v>102</v>
      </c>
      <c r="G20" s="22">
        <v>12635</v>
      </c>
      <c r="H20" s="24"/>
      <c r="I20" s="24">
        <f t="shared" si="0"/>
        <v>1476959.12</v>
      </c>
      <c r="J20" s="26">
        <v>44431</v>
      </c>
      <c r="K20" s="22" t="s">
        <v>110</v>
      </c>
      <c r="L20" s="24">
        <v>1476959.12</v>
      </c>
      <c r="M20" s="21">
        <v>521</v>
      </c>
      <c r="N20" s="25" t="s">
        <v>110</v>
      </c>
      <c r="O20" s="22" t="s">
        <v>110</v>
      </c>
      <c r="P20" s="22" t="s">
        <v>110</v>
      </c>
      <c r="Q20" s="23" t="s">
        <v>169</v>
      </c>
      <c r="R20" s="22" t="s">
        <v>110</v>
      </c>
      <c r="S20" s="22" t="s">
        <v>110</v>
      </c>
      <c r="T20" s="8" t="str">
        <f>VLOOKUP(A20,Listas!A$3:C$30,2,0)</f>
        <v>260101</v>
      </c>
      <c r="U20" s="19" t="s">
        <v>110</v>
      </c>
      <c r="V20" s="19" t="s">
        <v>110</v>
      </c>
      <c r="W20" s="20" t="s">
        <v>110</v>
      </c>
      <c r="X20" s="19" t="s">
        <v>110</v>
      </c>
      <c r="Y20" s="19" t="s">
        <v>110</v>
      </c>
    </row>
    <row r="21" spans="1:25" x14ac:dyDescent="0.2">
      <c r="A21" s="22" t="s">
        <v>68</v>
      </c>
      <c r="B21" s="3" t="str">
        <f>VLOOKUP(A21,Listas!A$3:C$30,3,0)</f>
        <v>Secretaria Municipal de Juventude, Esporte e Lazer</v>
      </c>
      <c r="C21" s="23" t="s">
        <v>151</v>
      </c>
      <c r="D21" s="22" t="s">
        <v>99</v>
      </c>
      <c r="E21" s="19" t="s">
        <v>104</v>
      </c>
      <c r="F21" s="22" t="s">
        <v>103</v>
      </c>
      <c r="G21" s="22">
        <v>27915</v>
      </c>
      <c r="H21" s="24"/>
      <c r="I21" s="24">
        <f t="shared" si="0"/>
        <v>0</v>
      </c>
      <c r="J21" s="22"/>
      <c r="K21" s="22" t="s">
        <v>110</v>
      </c>
      <c r="L21" s="24">
        <v>0</v>
      </c>
      <c r="M21" s="21">
        <v>522</v>
      </c>
      <c r="N21" s="25" t="s">
        <v>110</v>
      </c>
      <c r="O21" s="22" t="s">
        <v>110</v>
      </c>
      <c r="P21" s="22" t="s">
        <v>110</v>
      </c>
      <c r="Q21" s="23" t="s">
        <v>170</v>
      </c>
      <c r="R21" s="22" t="s">
        <v>110</v>
      </c>
      <c r="S21" s="22" t="s">
        <v>110</v>
      </c>
      <c r="T21" s="8" t="str">
        <f>VLOOKUP(A21,Listas!A$3:C$30,2,0)</f>
        <v>260101</v>
      </c>
      <c r="U21" s="19" t="s">
        <v>110</v>
      </c>
      <c r="V21" s="19" t="s">
        <v>110</v>
      </c>
      <c r="W21" s="20" t="s">
        <v>110</v>
      </c>
      <c r="X21" s="19" t="s">
        <v>110</v>
      </c>
      <c r="Y21" s="19" t="s">
        <v>110</v>
      </c>
    </row>
    <row r="22" spans="1:25" x14ac:dyDescent="0.2">
      <c r="A22" s="22" t="s">
        <v>68</v>
      </c>
      <c r="B22" s="3" t="str">
        <f>VLOOKUP(A22,Listas!A$3:C$30,3,0)</f>
        <v>Secretaria Municipal de Juventude, Esporte e Lazer</v>
      </c>
      <c r="C22" s="23" t="s">
        <v>108</v>
      </c>
      <c r="D22" s="22" t="s">
        <v>95</v>
      </c>
      <c r="E22" s="19" t="s">
        <v>104</v>
      </c>
      <c r="F22" s="22"/>
      <c r="G22" s="22"/>
      <c r="H22" s="24"/>
      <c r="I22" s="24">
        <f t="shared" si="0"/>
        <v>0</v>
      </c>
      <c r="J22" s="22"/>
      <c r="K22" s="22" t="s">
        <v>110</v>
      </c>
      <c r="L22" s="24">
        <v>0</v>
      </c>
      <c r="M22" s="21">
        <v>523</v>
      </c>
      <c r="N22" s="25" t="s">
        <v>110</v>
      </c>
      <c r="O22" s="22" t="s">
        <v>110</v>
      </c>
      <c r="P22" s="22" t="s">
        <v>110</v>
      </c>
      <c r="Q22" s="23" t="s">
        <v>171</v>
      </c>
      <c r="R22" s="22" t="s">
        <v>110</v>
      </c>
      <c r="S22" s="22" t="s">
        <v>110</v>
      </c>
      <c r="T22" s="8" t="str">
        <f>VLOOKUP(A22,Listas!A$3:C$30,2,0)</f>
        <v>260101</v>
      </c>
      <c r="U22" s="19" t="s">
        <v>110</v>
      </c>
      <c r="V22" s="19" t="s">
        <v>110</v>
      </c>
      <c r="W22" s="20" t="s">
        <v>110</v>
      </c>
      <c r="X22" s="19" t="s">
        <v>110</v>
      </c>
      <c r="Y22" s="19" t="s">
        <v>110</v>
      </c>
    </row>
    <row r="23" spans="1:25" x14ac:dyDescent="0.2">
      <c r="A23" s="22" t="s">
        <v>68</v>
      </c>
      <c r="B23" s="3" t="str">
        <f>VLOOKUP(A23,Listas!A$3:C$30,3,0)</f>
        <v>Secretaria Municipal de Juventude, Esporte e Lazer</v>
      </c>
      <c r="C23" s="23" t="s">
        <v>152</v>
      </c>
      <c r="D23" s="22" t="s">
        <v>99</v>
      </c>
      <c r="E23" s="19" t="s">
        <v>104</v>
      </c>
      <c r="F23" s="22"/>
      <c r="G23" s="22"/>
      <c r="H23" s="24"/>
      <c r="I23" s="24">
        <f>H23+L23</f>
        <v>0</v>
      </c>
      <c r="J23" s="22"/>
      <c r="K23" s="22" t="s">
        <v>110</v>
      </c>
      <c r="L23" s="24">
        <v>0</v>
      </c>
      <c r="M23" s="21">
        <v>524</v>
      </c>
      <c r="N23" s="25" t="s">
        <v>110</v>
      </c>
      <c r="O23" s="22" t="s">
        <v>110</v>
      </c>
      <c r="P23" s="22" t="s">
        <v>110</v>
      </c>
      <c r="Q23" s="23" t="s">
        <v>172</v>
      </c>
      <c r="R23" s="22" t="s">
        <v>110</v>
      </c>
      <c r="S23" s="22" t="s">
        <v>110</v>
      </c>
      <c r="T23" s="8" t="str">
        <f>VLOOKUP(A23,Listas!A$3:C$30,2,0)</f>
        <v>260101</v>
      </c>
      <c r="U23" s="19" t="s">
        <v>110</v>
      </c>
      <c r="V23" s="19" t="s">
        <v>110</v>
      </c>
      <c r="W23" s="20" t="s">
        <v>110</v>
      </c>
      <c r="X23" s="19" t="s">
        <v>110</v>
      </c>
      <c r="Y23" s="19" t="s">
        <v>110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'N:\DPAT\_GESTÃO DE IMÓVEIS\1.INFORMAÇÕES IMÓVEIS\IMÓVEIS COM REGISTRO E SEM REGISTRO\[BEM IMÓVEL - SEMJEL_ajuste.xlsx]Listas'!#REF!</xm:f>
          </x14:formula1>
          <xm:sqref>A4:A23 S4:S23 P4:P23 D4:D23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74"/>
  <sheetViews>
    <sheetView workbookViewId="0">
      <selection activeCell="C16" sqref="C16"/>
    </sheetView>
  </sheetViews>
  <sheetFormatPr defaultRowHeight="15" x14ac:dyDescent="0.25"/>
  <cols>
    <col min="1" max="1" width="17.85546875" customWidth="1"/>
    <col min="2" max="2" width="15.7109375" customWidth="1"/>
    <col min="3" max="3" width="73.85546875" bestFit="1" customWidth="1"/>
    <col min="4" max="10" width="15.7109375" customWidth="1"/>
  </cols>
  <sheetData>
    <row r="2" spans="1:7" s="1" customFormat="1" ht="36.75" customHeight="1" x14ac:dyDescent="0.25">
      <c r="A2" s="7" t="s">
        <v>4</v>
      </c>
      <c r="B2" s="7" t="s">
        <v>63</v>
      </c>
      <c r="C2" s="7" t="s">
        <v>40</v>
      </c>
      <c r="D2" s="7" t="s">
        <v>16</v>
      </c>
      <c r="E2" s="7" t="s">
        <v>1</v>
      </c>
      <c r="F2" s="7" t="s">
        <v>14</v>
      </c>
      <c r="G2" s="7" t="s">
        <v>2</v>
      </c>
    </row>
    <row r="3" spans="1:7" x14ac:dyDescent="0.25">
      <c r="A3" s="5" t="s">
        <v>92</v>
      </c>
      <c r="B3" s="5" t="s">
        <v>173</v>
      </c>
      <c r="C3" s="5" t="s">
        <v>93</v>
      </c>
      <c r="D3" s="5" t="s">
        <v>18</v>
      </c>
      <c r="E3" s="5" t="s">
        <v>27</v>
      </c>
      <c r="F3" s="5" t="s">
        <v>31</v>
      </c>
      <c r="G3" s="5" t="s">
        <v>33</v>
      </c>
    </row>
    <row r="4" spans="1:7" x14ac:dyDescent="0.25">
      <c r="A4" s="5" t="s">
        <v>42</v>
      </c>
      <c r="B4" s="5" t="s">
        <v>174</v>
      </c>
      <c r="C4" s="5" t="s">
        <v>43</v>
      </c>
      <c r="D4" s="5" t="s">
        <v>17</v>
      </c>
      <c r="E4" s="5" t="s">
        <v>26</v>
      </c>
      <c r="F4" s="5" t="s">
        <v>32</v>
      </c>
      <c r="G4" s="5" t="s">
        <v>34</v>
      </c>
    </row>
    <row r="5" spans="1:7" x14ac:dyDescent="0.25">
      <c r="A5" s="5" t="s">
        <v>44</v>
      </c>
      <c r="B5" s="5" t="s">
        <v>175</v>
      </c>
      <c r="C5" s="5" t="s">
        <v>94</v>
      </c>
      <c r="D5" s="5" t="s">
        <v>19</v>
      </c>
      <c r="E5" s="5" t="s">
        <v>25</v>
      </c>
      <c r="F5" s="5" t="s">
        <v>29</v>
      </c>
      <c r="G5" s="5" t="s">
        <v>35</v>
      </c>
    </row>
    <row r="6" spans="1:7" x14ac:dyDescent="0.25">
      <c r="A6" s="5" t="s">
        <v>61</v>
      </c>
      <c r="B6" s="5" t="s">
        <v>176</v>
      </c>
      <c r="C6" s="5" t="s">
        <v>62</v>
      </c>
      <c r="D6" s="5" t="s">
        <v>110</v>
      </c>
      <c r="E6" s="5" t="s">
        <v>24</v>
      </c>
      <c r="F6" s="5" t="s">
        <v>28</v>
      </c>
      <c r="G6" s="5" t="s">
        <v>36</v>
      </c>
    </row>
    <row r="7" spans="1:7" x14ac:dyDescent="0.25">
      <c r="A7" s="5" t="s">
        <v>51</v>
      </c>
      <c r="B7" s="5" t="s">
        <v>177</v>
      </c>
      <c r="C7" s="5" t="s">
        <v>52</v>
      </c>
      <c r="D7" s="5"/>
      <c r="E7" s="5" t="s">
        <v>22</v>
      </c>
      <c r="F7" s="5" t="s">
        <v>30</v>
      </c>
      <c r="G7" s="5" t="s">
        <v>37</v>
      </c>
    </row>
    <row r="8" spans="1:7" x14ac:dyDescent="0.25">
      <c r="A8" s="5" t="s">
        <v>39</v>
      </c>
      <c r="B8" s="5" t="s">
        <v>178</v>
      </c>
      <c r="C8" s="5" t="s">
        <v>41</v>
      </c>
      <c r="D8" s="5"/>
      <c r="E8" s="5" t="s">
        <v>20</v>
      </c>
      <c r="F8" s="5" t="s">
        <v>110</v>
      </c>
      <c r="G8" s="5" t="s">
        <v>110</v>
      </c>
    </row>
    <row r="9" spans="1:7" x14ac:dyDescent="0.25">
      <c r="A9" s="5" t="s">
        <v>82</v>
      </c>
      <c r="B9" s="5" t="s">
        <v>179</v>
      </c>
      <c r="C9" s="5" t="s">
        <v>83</v>
      </c>
      <c r="D9" s="5"/>
      <c r="E9" s="5" t="s">
        <v>23</v>
      </c>
      <c r="F9" s="5"/>
      <c r="G9" s="5"/>
    </row>
    <row r="10" spans="1:7" x14ac:dyDescent="0.25">
      <c r="A10" s="5" t="s">
        <v>64</v>
      </c>
      <c r="B10" s="5" t="s">
        <v>180</v>
      </c>
      <c r="C10" s="5" t="s">
        <v>65</v>
      </c>
      <c r="D10" s="5"/>
      <c r="E10" s="5" t="s">
        <v>21</v>
      </c>
      <c r="F10" s="5"/>
      <c r="G10" s="5"/>
    </row>
    <row r="11" spans="1:7" x14ac:dyDescent="0.25">
      <c r="A11" s="5" t="s">
        <v>45</v>
      </c>
      <c r="B11" s="5" t="s">
        <v>181</v>
      </c>
      <c r="C11" s="5" t="s">
        <v>46</v>
      </c>
      <c r="D11" s="5"/>
      <c r="E11" s="5"/>
      <c r="F11" s="5"/>
      <c r="G11" s="5"/>
    </row>
    <row r="12" spans="1:7" x14ac:dyDescent="0.25">
      <c r="A12" s="5" t="s">
        <v>86</v>
      </c>
      <c r="B12" s="5" t="s">
        <v>182</v>
      </c>
      <c r="C12" s="5" t="s">
        <v>87</v>
      </c>
      <c r="D12" s="5"/>
      <c r="E12" s="5"/>
      <c r="F12" s="5"/>
      <c r="G12" s="5"/>
    </row>
    <row r="13" spans="1:7" x14ac:dyDescent="0.25">
      <c r="A13" s="5" t="s">
        <v>84</v>
      </c>
      <c r="B13" s="5" t="s">
        <v>183</v>
      </c>
      <c r="C13" s="5" t="s">
        <v>85</v>
      </c>
      <c r="D13" s="5"/>
      <c r="E13" s="5"/>
      <c r="F13" s="5"/>
      <c r="G13" s="5"/>
    </row>
    <row r="14" spans="1:7" x14ac:dyDescent="0.25">
      <c r="A14" s="5" t="s">
        <v>88</v>
      </c>
      <c r="B14" s="5" t="s">
        <v>184</v>
      </c>
      <c r="C14" s="5" t="s">
        <v>89</v>
      </c>
      <c r="D14" s="5"/>
      <c r="E14" s="5"/>
      <c r="F14" s="5"/>
      <c r="G14" s="5"/>
    </row>
    <row r="15" spans="1:7" x14ac:dyDescent="0.25">
      <c r="A15" s="5" t="s">
        <v>90</v>
      </c>
      <c r="B15" s="5" t="s">
        <v>185</v>
      </c>
      <c r="C15" s="5" t="s">
        <v>91</v>
      </c>
      <c r="D15" s="5"/>
      <c r="E15" s="5"/>
      <c r="F15" s="5"/>
      <c r="G15" s="5"/>
    </row>
    <row r="16" spans="1:7" x14ac:dyDescent="0.25">
      <c r="A16" s="5" t="s">
        <v>47</v>
      </c>
      <c r="B16" s="5" t="s">
        <v>186</v>
      </c>
      <c r="C16" s="5" t="s">
        <v>48</v>
      </c>
      <c r="D16" s="5"/>
      <c r="E16" s="5"/>
      <c r="F16" s="5"/>
      <c r="G16" s="5"/>
    </row>
    <row r="17" spans="1:7" x14ac:dyDescent="0.25">
      <c r="A17" s="5" t="s">
        <v>78</v>
      </c>
      <c r="B17" s="5" t="s">
        <v>187</v>
      </c>
      <c r="C17" s="5" t="s">
        <v>79</v>
      </c>
      <c r="D17" s="5"/>
      <c r="E17" s="5"/>
      <c r="F17" s="5"/>
      <c r="G17" s="5"/>
    </row>
    <row r="18" spans="1:7" x14ac:dyDescent="0.25">
      <c r="A18" s="5" t="s">
        <v>49</v>
      </c>
      <c r="B18" s="5" t="s">
        <v>188</v>
      </c>
      <c r="C18" s="5" t="s">
        <v>50</v>
      </c>
      <c r="D18" s="5"/>
      <c r="E18" s="5"/>
      <c r="F18" s="5"/>
      <c r="G18" s="5"/>
    </row>
    <row r="19" spans="1:7" x14ac:dyDescent="0.25">
      <c r="A19" s="5" t="s">
        <v>74</v>
      </c>
      <c r="B19" s="5" t="s">
        <v>189</v>
      </c>
      <c r="C19" s="5" t="s">
        <v>75</v>
      </c>
      <c r="D19" s="5"/>
      <c r="E19" s="5"/>
      <c r="F19" s="5"/>
      <c r="G19" s="5"/>
    </row>
    <row r="20" spans="1:7" x14ac:dyDescent="0.25">
      <c r="A20" s="5" t="s">
        <v>57</v>
      </c>
      <c r="B20" s="5" t="s">
        <v>190</v>
      </c>
      <c r="C20" s="5" t="s">
        <v>58</v>
      </c>
      <c r="D20" s="5"/>
      <c r="E20" s="5"/>
      <c r="F20" s="5"/>
      <c r="G20" s="5"/>
    </row>
    <row r="21" spans="1:7" x14ac:dyDescent="0.25">
      <c r="A21" s="5" t="s">
        <v>55</v>
      </c>
      <c r="B21" s="5" t="s">
        <v>191</v>
      </c>
      <c r="C21" s="5" t="s">
        <v>56</v>
      </c>
      <c r="D21" s="5"/>
      <c r="E21" s="5"/>
      <c r="F21" s="5"/>
      <c r="G21" s="5"/>
    </row>
    <row r="22" spans="1:7" x14ac:dyDescent="0.25">
      <c r="A22" s="5" t="s">
        <v>53</v>
      </c>
      <c r="B22" s="5" t="s">
        <v>192</v>
      </c>
      <c r="C22" s="5" t="s">
        <v>54</v>
      </c>
      <c r="D22" s="5"/>
      <c r="E22" s="5"/>
      <c r="F22" s="5"/>
      <c r="G22" s="5"/>
    </row>
    <row r="23" spans="1:7" x14ac:dyDescent="0.25">
      <c r="A23" s="5" t="s">
        <v>80</v>
      </c>
      <c r="B23" s="5" t="s">
        <v>193</v>
      </c>
      <c r="C23" s="5" t="s">
        <v>81</v>
      </c>
      <c r="D23" s="5"/>
      <c r="E23" s="5"/>
      <c r="F23" s="5"/>
      <c r="G23" s="5"/>
    </row>
    <row r="24" spans="1:7" x14ac:dyDescent="0.25">
      <c r="A24" s="5" t="s">
        <v>70</v>
      </c>
      <c r="B24" s="5" t="s">
        <v>194</v>
      </c>
      <c r="C24" s="5" t="s">
        <v>71</v>
      </c>
      <c r="D24" s="5"/>
      <c r="E24" s="5"/>
      <c r="F24" s="5"/>
      <c r="G24" s="5"/>
    </row>
    <row r="25" spans="1:7" x14ac:dyDescent="0.25">
      <c r="A25" s="5" t="s">
        <v>68</v>
      </c>
      <c r="B25" s="5" t="s">
        <v>195</v>
      </c>
      <c r="C25" s="5" t="s">
        <v>69</v>
      </c>
      <c r="D25" s="5"/>
      <c r="E25" s="5"/>
      <c r="F25" s="5"/>
      <c r="G25" s="5"/>
    </row>
    <row r="26" spans="1:7" x14ac:dyDescent="0.25">
      <c r="A26" s="5" t="s">
        <v>72</v>
      </c>
      <c r="B26" s="5" t="s">
        <v>196</v>
      </c>
      <c r="C26" s="5" t="s">
        <v>73</v>
      </c>
      <c r="D26" s="5"/>
      <c r="E26" s="5"/>
      <c r="F26" s="5"/>
      <c r="G26" s="5"/>
    </row>
    <row r="27" spans="1:7" x14ac:dyDescent="0.25">
      <c r="A27" s="5" t="s">
        <v>105</v>
      </c>
      <c r="B27" s="5" t="s">
        <v>197</v>
      </c>
      <c r="C27" s="5" t="s">
        <v>106</v>
      </c>
      <c r="D27" s="5"/>
      <c r="E27" s="5"/>
      <c r="F27" s="5"/>
      <c r="G27" s="5"/>
    </row>
    <row r="28" spans="1:7" x14ac:dyDescent="0.25">
      <c r="A28" s="5" t="s">
        <v>67</v>
      </c>
      <c r="B28" s="5" t="s">
        <v>198</v>
      </c>
      <c r="C28" s="5" t="s">
        <v>66</v>
      </c>
      <c r="D28" s="5"/>
      <c r="E28" s="5"/>
      <c r="F28" s="5"/>
      <c r="G28" s="5"/>
    </row>
    <row r="29" spans="1:7" x14ac:dyDescent="0.25">
      <c r="A29" s="5" t="s">
        <v>59</v>
      </c>
      <c r="B29" s="5" t="s">
        <v>199</v>
      </c>
      <c r="C29" s="5" t="s">
        <v>60</v>
      </c>
      <c r="D29" s="5"/>
      <c r="E29" s="5"/>
      <c r="F29" s="5"/>
      <c r="G29" s="5"/>
    </row>
    <row r="30" spans="1:7" x14ac:dyDescent="0.25">
      <c r="A30" s="5" t="s">
        <v>76</v>
      </c>
      <c r="B30" s="5" t="s">
        <v>200</v>
      </c>
      <c r="C30" s="5" t="s">
        <v>77</v>
      </c>
      <c r="D30" s="5"/>
      <c r="E30" s="5"/>
      <c r="F30" s="5"/>
      <c r="G30" s="5"/>
    </row>
    <row r="31" spans="1:7" x14ac:dyDescent="0.25">
      <c r="A31" s="5"/>
      <c r="B31" s="5"/>
      <c r="C31" s="5"/>
      <c r="D31" s="5"/>
      <c r="E31" s="5"/>
      <c r="F31" s="5"/>
      <c r="G31" s="5"/>
    </row>
    <row r="32" spans="1:7" x14ac:dyDescent="0.25">
      <c r="A32" s="5"/>
      <c r="B32" s="5"/>
      <c r="C32" s="5"/>
      <c r="D32" s="5"/>
      <c r="E32" s="5"/>
      <c r="F32" s="5"/>
      <c r="G32" s="5"/>
    </row>
    <row r="33" spans="1:7" x14ac:dyDescent="0.25">
      <c r="A33" s="5"/>
      <c r="B33" s="5"/>
      <c r="C33" s="5"/>
      <c r="D33" s="5"/>
      <c r="E33" s="5"/>
      <c r="F33" s="5"/>
      <c r="G33" s="5"/>
    </row>
    <row r="34" spans="1:7" x14ac:dyDescent="0.25">
      <c r="A34" s="5"/>
      <c r="B34" s="5"/>
      <c r="C34" s="5"/>
      <c r="D34" s="5"/>
      <c r="E34" s="5"/>
      <c r="F34" s="5"/>
      <c r="G34" s="5"/>
    </row>
    <row r="35" spans="1:7" x14ac:dyDescent="0.25">
      <c r="A35" s="5"/>
      <c r="B35" s="5"/>
      <c r="C35" s="5"/>
      <c r="D35" s="5"/>
      <c r="E35" s="5"/>
      <c r="F35" s="5"/>
      <c r="G35" s="5"/>
    </row>
    <row r="36" spans="1:7" x14ac:dyDescent="0.25">
      <c r="A36" s="5"/>
      <c r="B36" s="5"/>
      <c r="C36" s="5"/>
      <c r="D36" s="5"/>
      <c r="E36" s="5"/>
      <c r="F36" s="5"/>
      <c r="G36" s="5"/>
    </row>
    <row r="37" spans="1:7" x14ac:dyDescent="0.25">
      <c r="A37" s="5"/>
      <c r="B37" s="5"/>
      <c r="C37" s="5"/>
      <c r="D37" s="5"/>
      <c r="E37" s="5"/>
      <c r="F37" s="5"/>
      <c r="G37" s="5"/>
    </row>
    <row r="38" spans="1:7" x14ac:dyDescent="0.25">
      <c r="A38" s="5"/>
      <c r="B38" s="5"/>
      <c r="C38" s="5"/>
      <c r="D38" s="5"/>
      <c r="E38" s="5"/>
      <c r="F38" s="5"/>
      <c r="G38" s="5"/>
    </row>
    <row r="39" spans="1:7" x14ac:dyDescent="0.25">
      <c r="A39" s="5"/>
      <c r="B39" s="5"/>
      <c r="C39" s="5"/>
      <c r="D39" s="5"/>
      <c r="E39" s="5"/>
      <c r="F39" s="5"/>
      <c r="G39" s="5"/>
    </row>
    <row r="40" spans="1:7" x14ac:dyDescent="0.25">
      <c r="A40" s="5"/>
      <c r="B40" s="5"/>
      <c r="C40" s="5"/>
      <c r="D40" s="5"/>
      <c r="E40" s="5"/>
      <c r="F40" s="5"/>
      <c r="G40" s="5"/>
    </row>
    <row r="41" spans="1:7" x14ac:dyDescent="0.25">
      <c r="A41" s="5"/>
      <c r="B41" s="5"/>
      <c r="C41" s="5"/>
      <c r="D41" s="5"/>
      <c r="E41" s="5"/>
      <c r="F41" s="5"/>
      <c r="G41" s="5"/>
    </row>
    <row r="42" spans="1:7" x14ac:dyDescent="0.25">
      <c r="A42" s="5"/>
      <c r="B42" s="5"/>
      <c r="C42" s="5"/>
      <c r="D42" s="5"/>
      <c r="E42" s="5"/>
      <c r="F42" s="5"/>
      <c r="G42" s="5"/>
    </row>
    <row r="43" spans="1:7" x14ac:dyDescent="0.25">
      <c r="A43" s="5"/>
      <c r="B43" s="5"/>
      <c r="C43" s="5"/>
      <c r="D43" s="5"/>
      <c r="E43" s="5"/>
      <c r="F43" s="5"/>
      <c r="G43" s="5"/>
    </row>
    <row r="44" spans="1:7" x14ac:dyDescent="0.25">
      <c r="A44" s="5"/>
      <c r="B44" s="5"/>
      <c r="C44" s="5"/>
      <c r="D44" s="5"/>
      <c r="E44" s="5"/>
      <c r="F44" s="5"/>
      <c r="G44" s="5"/>
    </row>
    <row r="45" spans="1:7" x14ac:dyDescent="0.25">
      <c r="A45" s="5"/>
      <c r="B45" s="5"/>
      <c r="C45" s="5"/>
      <c r="D45" s="5"/>
      <c r="E45" s="5"/>
      <c r="F45" s="5"/>
      <c r="G45" s="5"/>
    </row>
    <row r="46" spans="1:7" x14ac:dyDescent="0.25">
      <c r="A46" s="5"/>
      <c r="B46" s="5"/>
      <c r="C46" s="5"/>
      <c r="D46" s="5"/>
      <c r="E46" s="5"/>
      <c r="F46" s="5"/>
      <c r="G46" s="5"/>
    </row>
    <row r="47" spans="1:7" x14ac:dyDescent="0.25">
      <c r="A47" s="5"/>
      <c r="B47" s="5"/>
      <c r="C47" s="5"/>
      <c r="D47" s="5"/>
      <c r="E47" s="5"/>
      <c r="F47" s="5"/>
      <c r="G47" s="5"/>
    </row>
    <row r="48" spans="1:7" x14ac:dyDescent="0.25">
      <c r="A48" s="5"/>
      <c r="B48" s="5"/>
      <c r="C48" s="5"/>
      <c r="D48" s="5"/>
      <c r="E48" s="5"/>
      <c r="F48" s="5"/>
      <c r="G48" s="5"/>
    </row>
    <row r="49" spans="1:7" x14ac:dyDescent="0.25">
      <c r="A49" s="5"/>
      <c r="B49" s="5"/>
      <c r="C49" s="5"/>
      <c r="D49" s="5"/>
      <c r="E49" s="5"/>
      <c r="F49" s="5"/>
      <c r="G49" s="5"/>
    </row>
    <row r="50" spans="1:7" x14ac:dyDescent="0.25">
      <c r="A50" s="5"/>
      <c r="B50" s="5"/>
      <c r="C50" s="5"/>
      <c r="D50" s="5"/>
      <c r="E50" s="5"/>
      <c r="F50" s="5"/>
      <c r="G50" s="5"/>
    </row>
    <row r="51" spans="1:7" x14ac:dyDescent="0.25">
      <c r="A51" s="5"/>
      <c r="B51" s="5"/>
      <c r="C51" s="5"/>
      <c r="D51" s="5"/>
      <c r="E51" s="5"/>
      <c r="F51" s="5"/>
      <c r="G51" s="5"/>
    </row>
    <row r="52" spans="1:7" x14ac:dyDescent="0.25">
      <c r="A52" s="5"/>
      <c r="B52" s="5"/>
      <c r="C52" s="5"/>
      <c r="D52" s="5"/>
      <c r="E52" s="5"/>
      <c r="F52" s="5"/>
      <c r="G52" s="5"/>
    </row>
    <row r="53" spans="1:7" x14ac:dyDescent="0.25">
      <c r="A53" s="5"/>
      <c r="B53" s="5"/>
      <c r="C53" s="5"/>
      <c r="D53" s="5"/>
      <c r="E53" s="5"/>
      <c r="F53" s="5"/>
      <c r="G53" s="5"/>
    </row>
    <row r="54" spans="1:7" x14ac:dyDescent="0.25">
      <c r="A54" s="5"/>
      <c r="B54" s="5"/>
      <c r="C54" s="5"/>
      <c r="D54" s="5"/>
      <c r="E54" s="5"/>
      <c r="F54" s="5"/>
      <c r="G54" s="5"/>
    </row>
    <row r="55" spans="1:7" x14ac:dyDescent="0.25">
      <c r="A55" s="5"/>
      <c r="B55" s="5"/>
      <c r="C55" s="5"/>
      <c r="D55" s="5"/>
      <c r="E55" s="5"/>
      <c r="F55" s="5"/>
      <c r="G55" s="5"/>
    </row>
    <row r="56" spans="1:7" x14ac:dyDescent="0.25">
      <c r="A56" s="5"/>
      <c r="B56" s="5"/>
      <c r="C56" s="5"/>
      <c r="D56" s="5"/>
      <c r="E56" s="5"/>
      <c r="F56" s="5"/>
      <c r="G56" s="5"/>
    </row>
    <row r="57" spans="1:7" x14ac:dyDescent="0.25">
      <c r="A57" s="5"/>
      <c r="B57" s="5"/>
      <c r="C57" s="5"/>
      <c r="D57" s="5"/>
      <c r="E57" s="5"/>
      <c r="F57" s="5"/>
      <c r="G57" s="5"/>
    </row>
    <row r="58" spans="1:7" x14ac:dyDescent="0.25">
      <c r="A58" s="5"/>
      <c r="B58" s="5"/>
      <c r="C58" s="5"/>
      <c r="D58" s="5"/>
      <c r="E58" s="5"/>
      <c r="F58" s="5"/>
      <c r="G58" s="5"/>
    </row>
    <row r="59" spans="1:7" x14ac:dyDescent="0.25">
      <c r="A59" s="5"/>
      <c r="B59" s="5"/>
      <c r="C59" s="5"/>
      <c r="D59" s="5"/>
      <c r="E59" s="5"/>
      <c r="F59" s="5"/>
      <c r="G59" s="5"/>
    </row>
    <row r="60" spans="1:7" x14ac:dyDescent="0.25">
      <c r="A60" s="5"/>
      <c r="B60" s="5"/>
      <c r="C60" s="5"/>
      <c r="D60" s="5"/>
      <c r="E60" s="5"/>
      <c r="F60" s="5"/>
      <c r="G60" s="5"/>
    </row>
    <row r="61" spans="1:7" x14ac:dyDescent="0.25">
      <c r="A61" s="5"/>
      <c r="B61" s="5"/>
      <c r="C61" s="5"/>
      <c r="D61" s="5"/>
      <c r="E61" s="5"/>
      <c r="F61" s="5"/>
      <c r="G61" s="5"/>
    </row>
    <row r="62" spans="1:7" x14ac:dyDescent="0.25">
      <c r="A62" s="5"/>
      <c r="B62" s="5"/>
      <c r="C62" s="5"/>
      <c r="D62" s="5"/>
      <c r="E62" s="5"/>
      <c r="F62" s="5"/>
      <c r="G62" s="5"/>
    </row>
    <row r="63" spans="1:7" x14ac:dyDescent="0.25">
      <c r="A63" s="5"/>
      <c r="B63" s="5"/>
      <c r="C63" s="5"/>
      <c r="D63" s="5"/>
      <c r="E63" s="5"/>
      <c r="F63" s="5"/>
      <c r="G63" s="5"/>
    </row>
    <row r="64" spans="1:7" x14ac:dyDescent="0.25">
      <c r="A64" s="5"/>
      <c r="B64" s="5"/>
      <c r="C64" s="5"/>
      <c r="D64" s="5"/>
      <c r="E64" s="5"/>
      <c r="F64" s="5"/>
      <c r="G64" s="5"/>
    </row>
    <row r="65" spans="1:7" x14ac:dyDescent="0.25">
      <c r="A65" s="5"/>
      <c r="B65" s="5"/>
      <c r="C65" s="5"/>
      <c r="D65" s="5"/>
      <c r="E65" s="5"/>
      <c r="F65" s="5"/>
      <c r="G65" s="5"/>
    </row>
    <row r="66" spans="1:7" x14ac:dyDescent="0.25">
      <c r="A66" s="5"/>
      <c r="B66" s="5"/>
      <c r="C66" s="5"/>
      <c r="D66" s="5"/>
      <c r="E66" s="5"/>
      <c r="F66" s="5"/>
      <c r="G66" s="5"/>
    </row>
    <row r="67" spans="1:7" x14ac:dyDescent="0.25">
      <c r="A67" s="5"/>
      <c r="B67" s="5"/>
      <c r="C67" s="5"/>
      <c r="D67" s="5"/>
      <c r="E67" s="5"/>
      <c r="F67" s="5"/>
      <c r="G67" s="5"/>
    </row>
    <row r="68" spans="1:7" x14ac:dyDescent="0.25">
      <c r="A68" s="5"/>
      <c r="B68" s="5"/>
      <c r="C68" s="5"/>
      <c r="D68" s="5"/>
      <c r="E68" s="5"/>
      <c r="F68" s="5"/>
      <c r="G68" s="5"/>
    </row>
    <row r="69" spans="1:7" x14ac:dyDescent="0.25">
      <c r="A69" s="5"/>
      <c r="B69" s="5"/>
      <c r="C69" s="5"/>
      <c r="D69" s="5"/>
      <c r="E69" s="5"/>
      <c r="F69" s="5"/>
      <c r="G69" s="5"/>
    </row>
    <row r="70" spans="1:7" x14ac:dyDescent="0.25">
      <c r="A70" s="5"/>
      <c r="B70" s="5"/>
      <c r="C70" s="5"/>
      <c r="D70" s="5"/>
      <c r="E70" s="5"/>
      <c r="F70" s="5"/>
      <c r="G70" s="5"/>
    </row>
    <row r="71" spans="1:7" x14ac:dyDescent="0.25">
      <c r="A71" s="5"/>
      <c r="B71" s="5"/>
      <c r="C71" s="5"/>
      <c r="D71" s="5"/>
      <c r="E71" s="5"/>
      <c r="F71" s="5"/>
      <c r="G71" s="5"/>
    </row>
    <row r="72" spans="1:7" x14ac:dyDescent="0.25">
      <c r="A72" s="6"/>
      <c r="B72" s="6"/>
      <c r="C72" s="6"/>
      <c r="D72" s="6"/>
      <c r="E72" s="6"/>
      <c r="F72" s="6"/>
      <c r="G72" s="6"/>
    </row>
    <row r="73" spans="1:7" x14ac:dyDescent="0.25">
      <c r="A73" s="6"/>
      <c r="B73" s="6"/>
      <c r="C73" s="6"/>
      <c r="D73" s="6"/>
      <c r="E73" s="6"/>
      <c r="F73" s="6"/>
      <c r="G73" s="6"/>
    </row>
    <row r="74" spans="1:7" x14ac:dyDescent="0.25">
      <c r="A74" s="6"/>
      <c r="B74" s="6"/>
      <c r="C74" s="6"/>
      <c r="D74" s="6"/>
      <c r="E74" s="6"/>
      <c r="F74" s="6"/>
      <c r="G74" s="6"/>
    </row>
  </sheetData>
  <sortState ref="A3:C29">
    <sortCondition ref="A3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Bens Imóveis</vt:lpstr>
      <vt:lpstr>Listas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Da Silva Salvatierre</dc:creator>
  <cp:lastModifiedBy>Charles Da Silva Salvatierre</cp:lastModifiedBy>
  <dcterms:created xsi:type="dcterms:W3CDTF">2026-01-27T14:50:04Z</dcterms:created>
  <dcterms:modified xsi:type="dcterms:W3CDTF">2026-05-05T18:23:52Z</dcterms:modified>
</cp:coreProperties>
</file>