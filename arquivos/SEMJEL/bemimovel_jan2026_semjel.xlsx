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externalReferences>
    <externalReference r:id="rId3"/>
  </externalReferences>
  <definedNames>
    <definedName name="_xlnm._FilterDatabase" localSheetId="0" hidden="1">'Bens Imóveis'!$A$3:$Z$24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</calcChain>
</file>

<file path=xl/sharedStrings.xml><?xml version="1.0" encoding="utf-8"?>
<sst xmlns="http://schemas.openxmlformats.org/spreadsheetml/2006/main" count="494" uniqueCount="203">
  <si>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</si>
  <si>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</si>
  <si>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</si>
  <si>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</si>
  <si>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</si>
  <si>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</si>
  <si>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</si>
  <si>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</si>
  <si>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</si>
  <si>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</si>
  <si>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</si>
  <si>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</si>
  <si>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</si>
  <si>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</si>
  <si>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</si>
  <si>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</si>
  <si>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</si>
  <si>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</si>
  <si>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</si>
  <si>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</si>
  <si>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</si>
  <si>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</si>
  <si>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</si>
  <si>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</si>
  <si>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</si>
  <si>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</si>
  <si>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</si>
  <si>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</si>
  <si>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</si>
  <si>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</si>
  <si>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</si>
  <si>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</si>
  <si>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</si>
  <si>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</si>
  <si>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</si>
  <si>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</si>
  <si>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</si>
  <si>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</si>
  <si>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</si>
  <si>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</si>
  <si>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</si>
  <si>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</si>
  <si>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</si>
  <si>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</si>
  <si>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</si>
  <si>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</si>
  <si>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</si>
  <si>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</si>
  <si>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</si>
  <si>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</si>
  <si>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</si>
  <si>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</si>
  <si>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</si>
  <si>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</si>
  <si>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</si>
  <si>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</si>
  <si>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</si>
  <si>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</si>
  <si>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</si>
  <si>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</si>
  <si>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</si>
  <si>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</si>
  <si>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</si>
  <si>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</si>
  <si>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</si>
  <si>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</si>
  <si>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</si>
  <si>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</si>
  <si>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</si>
  <si>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</si>
  <si>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</si>
  <si>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</si>
  <si>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</si>
  <si>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</si>
  <si>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</si>
  <si>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</si>
  <si>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</si>
  <si>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</si>
  <si>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</si>
  <si>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</si>
  <si>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</si>
  <si>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</si>
  <si>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</si>
  <si>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</si>
  <si>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</si>
  <si>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</si>
  <si>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</si>
  <si>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</si>
  <si>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</si>
  <si>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</si>
  <si>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</si>
  <si>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</si>
  <si>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</si>
  <si>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</si>
  <si>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</si>
  <si>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</si>
  <si>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</si>
  <si>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</si>
  <si>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</si>
  <si>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</si>
  <si>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</si>
  <si>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</si>
  <si>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</si>
  <si>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</si>
  <si>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</si>
  <si>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</si>
  <si>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</si>
  <si>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</si>
  <si>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</si>
  <si>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</si>
  <si>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</si>
  <si>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</si>
  <si>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</si>
  <si>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</si>
  <si>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</si>
  <si>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</si>
  <si>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</si>
  <si>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</si>
  <si>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</si>
  <si>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</si>
  <si>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</si>
  <si>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</si>
  <si>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OESTE</t>
  </si>
  <si>
    <t>NORTE</t>
  </si>
  <si>
    <t>SUL</t>
  </si>
  <si>
    <t>CENTRO-SUL</t>
  </si>
  <si>
    <t>LESTE</t>
  </si>
  <si>
    <t>CENTRO -OESTE</t>
  </si>
  <si>
    <t>CENTRO -SUL</t>
  </si>
  <si>
    <t>3º OFÍCIO</t>
  </si>
  <si>
    <t>1º OFÍCIO</t>
  </si>
  <si>
    <t>ATIVO</t>
  </si>
  <si>
    <t>SEMSA</t>
  </si>
  <si>
    <t>23000</t>
  </si>
  <si>
    <t>Secretaria Municipal de Saúde</t>
  </si>
  <si>
    <t>CEL - Centro de Esporte e Lazer - Cidade de Deus (Miguel de Souza Reis)</t>
  </si>
  <si>
    <t>Mini Vila Olímpica Jair Sampaio (Santo Antônio)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</si>
  <si>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</si>
  <si>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</si>
  <si>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</si>
  <si>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</si>
  <si>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</si>
  <si>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</si>
  <si>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</si>
  <si>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</si>
  <si>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</si>
  <si>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</si>
  <si>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</si>
  <si>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</si>
  <si>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</si>
  <si>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</si>
  <si>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</si>
  <si>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</si>
  <si>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</si>
  <si>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</si>
  <si>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</si>
  <si>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</si>
  <si>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</si>
  <si>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</si>
  <si>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</si>
  <si>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</si>
  <si>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</si>
  <si>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</si>
  <si>
    <t>CEL - Centro de Esporte e Lazer - Alvorada</t>
  </si>
  <si>
    <t>CEL - Centro de Esporte e Lazer - Campos Elíseos</t>
  </si>
  <si>
    <t>CEL - Centro de Esporte e Lazer - Compensa (Dom Jackson Damasceno)</t>
  </si>
  <si>
    <t>CEL - Centro de Esporte e Lazer - Eldorado</t>
  </si>
  <si>
    <t>CEL - Centro de Esporte e Lazer - Ginásio do Zezão</t>
  </si>
  <si>
    <t>CEL - Centro de Esporte e Lazer - Japiim</t>
  </si>
  <si>
    <t>CEL - Centro de Esporte e Lazer - Ninimbeg dos Santos Guerra</t>
  </si>
  <si>
    <t>CEL - Centro de Esporte e Lazer - Redenção</t>
  </si>
  <si>
    <t>CEL - Centro de Esporte e Lazer - Rouxinol (Curió)</t>
  </si>
  <si>
    <t>CEL - Centro de Esporte e Lazer - Compensa (CSU)</t>
  </si>
  <si>
    <t>CEL - Centro de Esporte e Lazer - Santa Etelvina</t>
  </si>
  <si>
    <t>CEL - Centro de Esporte e Lazer - Santa Luzia</t>
  </si>
  <si>
    <t>CEL - Centro de Esporte e Lazer - Vale do Amanhecer</t>
  </si>
  <si>
    <t>CEL - Centro de Esporte e Lazer - Vista Bela</t>
  </si>
  <si>
    <t>CEL - Centro de Esporte e Lazer - Cidade Nova (Itaciara)</t>
  </si>
  <si>
    <t>CEL - Centro de Esporte e Lazer - Dom Pedro</t>
  </si>
  <si>
    <t>Mini Vila Olímpica Coroado</t>
  </si>
  <si>
    <t>Mini Vila Olimpica Armando Mendes</t>
  </si>
  <si>
    <t>Av. A, S/N - Alvorada - CEP 69.000-000</t>
  </si>
  <si>
    <t>Rua Gaivota, S/N - Conjunto Cidade de Deus - Cidade Nova - CEP 69.099-281</t>
  </si>
  <si>
    <t>Av. Genebra, 615 - Campos Elíseos - CEP 69.045-380</t>
  </si>
  <si>
    <t>Rua Luiz Vaz de Camões, 77 - Compensa I - CEP 69.030-070</t>
  </si>
  <si>
    <t>Av. Rondônia, S/N - Parque 10 de Novembro - CEP 69.000-000</t>
  </si>
  <si>
    <t>Rua Autaz Mirim, 5679 - São José Operário - CEP 69.085-000</t>
  </si>
  <si>
    <t>Rua A, 10 - Japiim - CEP 69.000-000</t>
  </si>
  <si>
    <t>Rua João Dary, S/N - São Jorge - CEP 69.033-430</t>
  </si>
  <si>
    <t>Tv. Olinda, S/N - Redenção - CEP 69.047-428</t>
  </si>
  <si>
    <t>Rua Rouxinol, S/N - Cidade Nova I - CEP 69.095-020</t>
  </si>
  <si>
    <t>Rua Eduardo Prado, S/N - Compensa - CEP 69.035-640</t>
  </si>
  <si>
    <t>Av. 17 de Março, S/N - Santa Etelvina - CEP 69.059-260</t>
  </si>
  <si>
    <t>Rua Guanabara, S/N - Santa Luzia - CEP 69.074-520</t>
  </si>
  <si>
    <t>Rua José Florêncio Batista, S/N - Petrópolis - CEP 69.063-395</t>
  </si>
  <si>
    <t>Rua Dom Cláudio Colling, S/N - Conjunto Vista Bela - Planalto - CEP 69.044-782</t>
  </si>
  <si>
    <t>Rua Itaciara, S/N - Cidade Nova I - CEP 69.090-190</t>
  </si>
  <si>
    <t>Av. Pedro Teixeira, S/N - Dom Pedro I - CEP 69.040-000</t>
  </si>
  <si>
    <t>Av. Cosme Ferreira, 871 - Coroado - CEP 69.082-230</t>
  </si>
  <si>
    <t>Rua Comendador Vicente Cruz, S/N - Santo Raimundo - CEP 69.029-090</t>
  </si>
  <si>
    <t>Rua 01, S/N - Armando Mendes - CEP 69.000-000</t>
  </si>
  <si>
    <t>Rua Castro Alves, S/N - Aleixo - CEP 69.060-040</t>
  </si>
  <si>
    <t>Parque Cidade da Criança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</si>
</sst>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M%20IM&#211;VEL%20-%20SEMJEL_aju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s Imóveis"/>
      <sheetName val="List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zoomScaleNormal="100" workbookViewId="0">
      <pane ySplit="3" topLeftCell="A4" activePane="bottomLeft" state="frozen"/>
      <selection pane="bottomLeft" activeCell="D11" sqref="D11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9" customFormat="1" ht="15.75" customHeight="1" thickBo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s="18" customFormat="1" ht="15.75" customHeight="1" x14ac:dyDescent="0.2">
      <c r="A2" s="15" t="s">
        <v>162</v>
      </c>
      <c r="B2" s="15" t="s">
        <v>162</v>
      </c>
      <c r="C2" s="17"/>
      <c r="D2" s="17"/>
      <c r="E2" s="17"/>
      <c r="F2" s="17"/>
      <c r="G2" s="17"/>
      <c r="H2" s="17"/>
      <c r="I2" s="17"/>
      <c r="J2" s="17"/>
      <c r="K2" s="14"/>
      <c r="L2" s="17" t="s">
        <v>162</v>
      </c>
      <c r="M2" s="16" t="s">
        <v>149</v>
      </c>
      <c r="N2" s="15" t="s">
        <v>150</v>
      </c>
      <c r="O2" s="15" t="s">
        <v>151</v>
      </c>
      <c r="P2" s="15" t="s">
        <v>152</v>
      </c>
      <c r="Q2" s="15" t="s">
        <v>153</v>
      </c>
      <c r="R2" s="15" t="s">
        <v>154</v>
      </c>
      <c r="S2" s="15" t="s">
        <v>155</v>
      </c>
      <c r="T2" s="15" t="s">
        <v>156</v>
      </c>
      <c r="U2" s="15" t="s">
        <v>157</v>
      </c>
      <c r="V2" s="15" t="s">
        <v>158</v>
      </c>
      <c r="W2" s="15" t="s">
        <v>159</v>
      </c>
      <c r="X2" s="15" t="s">
        <v>160</v>
      </c>
      <c r="Y2" s="15" t="s">
        <v>161</v>
      </c>
    </row>
    <row r="3" spans="1:26" s="2" customFormat="1" ht="25.5" customHeight="1" thickBot="1" x14ac:dyDescent="0.3">
      <c r="A3" s="10" t="s">
        <v>137</v>
      </c>
      <c r="B3" s="11" t="s">
        <v>38</v>
      </c>
      <c r="C3" s="11" t="s">
        <v>140</v>
      </c>
      <c r="D3" s="11" t="s">
        <v>141</v>
      </c>
      <c r="E3" s="11" t="s">
        <v>142</v>
      </c>
      <c r="F3" s="11" t="s">
        <v>143</v>
      </c>
      <c r="G3" s="11" t="s">
        <v>144</v>
      </c>
      <c r="H3" s="11" t="s">
        <v>145</v>
      </c>
      <c r="I3" s="11" t="s">
        <v>146</v>
      </c>
      <c r="J3" s="11" t="s">
        <v>147</v>
      </c>
      <c r="K3" s="11" t="s">
        <v>148</v>
      </c>
      <c r="L3" s="11" t="s">
        <v>3</v>
      </c>
      <c r="M3" s="11" t="s">
        <v>15</v>
      </c>
      <c r="N3" s="11" t="s">
        <v>6</v>
      </c>
      <c r="O3" s="11" t="s">
        <v>7</v>
      </c>
      <c r="P3" s="11" t="s">
        <v>139</v>
      </c>
      <c r="Q3" s="11" t="s">
        <v>0</v>
      </c>
      <c r="R3" s="11" t="s">
        <v>8</v>
      </c>
      <c r="S3" s="11" t="s">
        <v>9</v>
      </c>
      <c r="T3" s="11" t="s">
        <v>75</v>
      </c>
      <c r="U3" s="11" t="s">
        <v>10</v>
      </c>
      <c r="V3" s="11" t="s">
        <v>11</v>
      </c>
      <c r="W3" s="11" t="s">
        <v>5</v>
      </c>
      <c r="X3" s="11" t="s">
        <v>13</v>
      </c>
      <c r="Y3" s="12" t="s">
        <v>12</v>
      </c>
    </row>
    <row r="4" spans="1:26" x14ac:dyDescent="0.2">
      <c r="A4" s="22" t="s">
        <v>82</v>
      </c>
      <c r="B4" s="3" t="str">
        <f>VLOOKUP(A4,Listas!A$3:C$30,3,0)</f>
        <v>Secretaria Municipal de Juventude, Esporte e Lazer</v>
      </c>
      <c r="C4" s="23" t="s">
        <v>163</v>
      </c>
      <c r="D4" s="22" t="s">
        <v>127</v>
      </c>
      <c r="E4" s="19" t="s">
        <v>131</v>
      </c>
      <c r="F4" s="22"/>
      <c r="G4" s="22"/>
      <c r="H4" s="24"/>
      <c r="I4" s="24">
        <f t="shared" ref="I4:I24" si="0">H4+L4</f>
        <v>0</v>
      </c>
      <c r="J4" s="22"/>
      <c r="K4" s="22" t="s">
        <v>138</v>
      </c>
      <c r="L4" s="24">
        <v>0</v>
      </c>
      <c r="M4" s="21">
        <v>505</v>
      </c>
      <c r="N4" s="25" t="s">
        <v>138</v>
      </c>
      <c r="O4" s="22" t="s">
        <v>138</v>
      </c>
      <c r="P4" s="22" t="s">
        <v>138</v>
      </c>
      <c r="Q4" s="23" t="s">
        <v>181</v>
      </c>
      <c r="R4" s="22" t="s">
        <v>138</v>
      </c>
      <c r="S4" s="22" t="s">
        <v>138</v>
      </c>
      <c r="T4" s="8" t="str">
        <f>VLOOKUP(A4,Listas!A$3:C$30,2,0)</f>
        <v>26101</v>
      </c>
      <c r="U4" s="19" t="s">
        <v>138</v>
      </c>
      <c r="V4" s="19" t="s">
        <v>138</v>
      </c>
      <c r="W4" s="20" t="s">
        <v>138</v>
      </c>
      <c r="X4" s="19" t="s">
        <v>138</v>
      </c>
      <c r="Y4" s="19" t="s">
        <v>138</v>
      </c>
    </row>
    <row r="5" spans="1:26" x14ac:dyDescent="0.2">
      <c r="A5" s="22" t="s">
        <v>82</v>
      </c>
      <c r="B5" s="3" t="str">
        <f>VLOOKUP(A5,Listas!A$3:C$30,3,0)</f>
        <v>Secretaria Municipal de Juventude, Esporte e Lazer</v>
      </c>
      <c r="C5" s="23" t="s">
        <v>135</v>
      </c>
      <c r="D5" s="22" t="s">
        <v>123</v>
      </c>
      <c r="E5" s="19" t="s">
        <v>131</v>
      </c>
      <c r="F5" s="22"/>
      <c r="G5" s="22"/>
      <c r="H5" s="24"/>
      <c r="I5" s="24">
        <f t="shared" si="0"/>
        <v>0</v>
      </c>
      <c r="J5" s="22"/>
      <c r="K5" s="22" t="s">
        <v>138</v>
      </c>
      <c r="L5" s="24">
        <v>0</v>
      </c>
      <c r="M5" s="21">
        <v>506</v>
      </c>
      <c r="N5" s="25" t="s">
        <v>138</v>
      </c>
      <c r="O5" s="22" t="s">
        <v>138</v>
      </c>
      <c r="P5" s="22" t="s">
        <v>138</v>
      </c>
      <c r="Q5" s="23" t="s">
        <v>182</v>
      </c>
      <c r="R5" s="22" t="s">
        <v>138</v>
      </c>
      <c r="S5" s="22" t="s">
        <v>138</v>
      </c>
      <c r="T5" s="8" t="str">
        <f>VLOOKUP(A5,Listas!A$3:C$30,2,0)</f>
        <v>26101</v>
      </c>
      <c r="U5" s="19" t="s">
        <v>138</v>
      </c>
      <c r="V5" s="19" t="s">
        <v>138</v>
      </c>
      <c r="W5" s="20" t="s">
        <v>138</v>
      </c>
      <c r="X5" s="19" t="s">
        <v>138</v>
      </c>
      <c r="Y5" s="19" t="s">
        <v>138</v>
      </c>
    </row>
    <row r="6" spans="1:26" x14ac:dyDescent="0.2">
      <c r="A6" s="22" t="s">
        <v>82</v>
      </c>
      <c r="B6" s="3" t="str">
        <f>VLOOKUP(A6,Listas!A$3:C$30,3,0)</f>
        <v>Secretaria Municipal de Juventude, Esporte e Lazer</v>
      </c>
      <c r="C6" s="23" t="s">
        <v>164</v>
      </c>
      <c r="D6" s="22" t="s">
        <v>127</v>
      </c>
      <c r="E6" s="19" t="s">
        <v>131</v>
      </c>
      <c r="F6" s="22"/>
      <c r="G6" s="22"/>
      <c r="H6" s="24"/>
      <c r="I6" s="24">
        <f t="shared" si="0"/>
        <v>0</v>
      </c>
      <c r="J6" s="22"/>
      <c r="K6" s="22" t="s">
        <v>138</v>
      </c>
      <c r="L6" s="24">
        <v>0</v>
      </c>
      <c r="M6" s="21">
        <v>507</v>
      </c>
      <c r="N6" s="25" t="s">
        <v>138</v>
      </c>
      <c r="O6" s="22" t="s">
        <v>138</v>
      </c>
      <c r="P6" s="22" t="s">
        <v>138</v>
      </c>
      <c r="Q6" s="23" t="s">
        <v>183</v>
      </c>
      <c r="R6" s="22" t="s">
        <v>138</v>
      </c>
      <c r="S6" s="22" t="s">
        <v>138</v>
      </c>
      <c r="T6" s="8" t="str">
        <f>VLOOKUP(A6,Listas!A$3:C$30,2,0)</f>
        <v>26101</v>
      </c>
      <c r="U6" s="19" t="s">
        <v>138</v>
      </c>
      <c r="V6" s="19" t="s">
        <v>138</v>
      </c>
      <c r="W6" s="20" t="s">
        <v>138</v>
      </c>
      <c r="X6" s="19" t="s">
        <v>138</v>
      </c>
      <c r="Y6" s="19" t="s">
        <v>138</v>
      </c>
    </row>
    <row r="7" spans="1:26" x14ac:dyDescent="0.2">
      <c r="A7" s="22" t="s">
        <v>82</v>
      </c>
      <c r="B7" s="3" t="str">
        <f>VLOOKUP(A7,Listas!A$3:C$30,3,0)</f>
        <v>Secretaria Municipal de Juventude, Esporte e Lazer</v>
      </c>
      <c r="C7" s="23" t="s">
        <v>165</v>
      </c>
      <c r="D7" s="22" t="s">
        <v>122</v>
      </c>
      <c r="E7" s="19" t="s">
        <v>131</v>
      </c>
      <c r="F7" s="22"/>
      <c r="G7" s="22"/>
      <c r="H7" s="24"/>
      <c r="I7" s="24">
        <f t="shared" si="0"/>
        <v>0</v>
      </c>
      <c r="J7" s="22"/>
      <c r="K7" s="22" t="s">
        <v>138</v>
      </c>
      <c r="L7" s="24">
        <v>0</v>
      </c>
      <c r="M7" s="21">
        <v>508</v>
      </c>
      <c r="N7" s="25" t="s">
        <v>138</v>
      </c>
      <c r="O7" s="22" t="s">
        <v>138</v>
      </c>
      <c r="P7" s="22" t="s">
        <v>138</v>
      </c>
      <c r="Q7" s="23" t="s">
        <v>184</v>
      </c>
      <c r="R7" s="22" t="s">
        <v>138</v>
      </c>
      <c r="S7" s="22" t="s">
        <v>138</v>
      </c>
      <c r="T7" s="8" t="str">
        <f>VLOOKUP(A7,Listas!A$3:C$30,2,0)</f>
        <v>26101</v>
      </c>
      <c r="U7" s="19" t="s">
        <v>138</v>
      </c>
      <c r="V7" s="19" t="s">
        <v>138</v>
      </c>
      <c r="W7" s="20" t="s">
        <v>138</v>
      </c>
      <c r="X7" s="19" t="s">
        <v>138</v>
      </c>
      <c r="Y7" s="19" t="s">
        <v>138</v>
      </c>
    </row>
    <row r="8" spans="1:26" x14ac:dyDescent="0.2">
      <c r="A8" s="22" t="s">
        <v>82</v>
      </c>
      <c r="B8" s="3" t="str">
        <f>VLOOKUP(A8,Listas!A$3:C$30,3,0)</f>
        <v>Secretaria Municipal de Juventude, Esporte e Lazer</v>
      </c>
      <c r="C8" s="23" t="s">
        <v>166</v>
      </c>
      <c r="D8" s="22" t="s">
        <v>128</v>
      </c>
      <c r="E8" s="19" t="s">
        <v>131</v>
      </c>
      <c r="F8" s="22"/>
      <c r="G8" s="22"/>
      <c r="H8" s="24"/>
      <c r="I8" s="24">
        <f t="shared" si="0"/>
        <v>0</v>
      </c>
      <c r="J8" s="22"/>
      <c r="K8" s="22" t="s">
        <v>138</v>
      </c>
      <c r="L8" s="24">
        <v>0</v>
      </c>
      <c r="M8" s="21">
        <v>509</v>
      </c>
      <c r="N8" s="25" t="s">
        <v>138</v>
      </c>
      <c r="O8" s="22" t="s">
        <v>138</v>
      </c>
      <c r="P8" s="22" t="s">
        <v>138</v>
      </c>
      <c r="Q8" s="23" t="s">
        <v>185</v>
      </c>
      <c r="R8" s="22" t="s">
        <v>138</v>
      </c>
      <c r="S8" s="22" t="s">
        <v>138</v>
      </c>
      <c r="T8" s="8" t="str">
        <f>VLOOKUP(A8,Listas!A$3:C$30,2,0)</f>
        <v>26101</v>
      </c>
      <c r="U8" s="19" t="s">
        <v>138</v>
      </c>
      <c r="V8" s="19" t="s">
        <v>138</v>
      </c>
      <c r="W8" s="20" t="s">
        <v>138</v>
      </c>
      <c r="X8" s="19" t="s">
        <v>138</v>
      </c>
      <c r="Y8" s="19" t="s">
        <v>138</v>
      </c>
    </row>
    <row r="9" spans="1:26" x14ac:dyDescent="0.2">
      <c r="A9" s="22" t="s">
        <v>82</v>
      </c>
      <c r="B9" s="3" t="str">
        <f>VLOOKUP(A9,Listas!A$3:C$30,3,0)</f>
        <v>Secretaria Municipal de Juventude, Esporte e Lazer</v>
      </c>
      <c r="C9" s="23" t="s">
        <v>167</v>
      </c>
      <c r="D9" s="22" t="s">
        <v>126</v>
      </c>
      <c r="E9" s="19" t="s">
        <v>131</v>
      </c>
      <c r="F9" s="22"/>
      <c r="G9" s="22"/>
      <c r="H9" s="24"/>
      <c r="I9" s="24">
        <f t="shared" si="0"/>
        <v>0</v>
      </c>
      <c r="J9" s="22"/>
      <c r="K9" s="22" t="s">
        <v>138</v>
      </c>
      <c r="L9" s="24">
        <v>0</v>
      </c>
      <c r="M9" s="21">
        <v>510</v>
      </c>
      <c r="N9" s="25" t="s">
        <v>138</v>
      </c>
      <c r="O9" s="22" t="s">
        <v>138</v>
      </c>
      <c r="P9" s="22" t="s">
        <v>138</v>
      </c>
      <c r="Q9" s="23" t="s">
        <v>186</v>
      </c>
      <c r="R9" s="22" t="s">
        <v>138</v>
      </c>
      <c r="S9" s="22" t="s">
        <v>138</v>
      </c>
      <c r="T9" s="8" t="str">
        <f>VLOOKUP(A9,Listas!A$3:C$30,2,0)</f>
        <v>26101</v>
      </c>
      <c r="U9" s="19" t="s">
        <v>138</v>
      </c>
      <c r="V9" s="19" t="s">
        <v>138</v>
      </c>
      <c r="W9" s="20" t="s">
        <v>138</v>
      </c>
      <c r="X9" s="19" t="s">
        <v>138</v>
      </c>
      <c r="Y9" s="19" t="s">
        <v>138</v>
      </c>
    </row>
    <row r="10" spans="1:26" x14ac:dyDescent="0.2">
      <c r="A10" s="22" t="s">
        <v>82</v>
      </c>
      <c r="B10" s="3" t="str">
        <f>VLOOKUP(A10,Listas!A$3:C$30,3,0)</f>
        <v>Secretaria Municipal de Juventude, Esporte e Lazer</v>
      </c>
      <c r="C10" s="23" t="s">
        <v>168</v>
      </c>
      <c r="D10" s="22" t="s">
        <v>124</v>
      </c>
      <c r="E10" s="19" t="s">
        <v>131</v>
      </c>
      <c r="F10" s="22"/>
      <c r="G10" s="22"/>
      <c r="H10" s="24"/>
      <c r="I10" s="24">
        <f t="shared" si="0"/>
        <v>0</v>
      </c>
      <c r="J10" s="22"/>
      <c r="K10" s="22" t="s">
        <v>138</v>
      </c>
      <c r="L10" s="24">
        <v>0</v>
      </c>
      <c r="M10" s="21">
        <v>511</v>
      </c>
      <c r="N10" s="25" t="s">
        <v>138</v>
      </c>
      <c r="O10" s="22" t="s">
        <v>138</v>
      </c>
      <c r="P10" s="22" t="s">
        <v>138</v>
      </c>
      <c r="Q10" s="23" t="s">
        <v>187</v>
      </c>
      <c r="R10" s="22" t="s">
        <v>138</v>
      </c>
      <c r="S10" s="22" t="s">
        <v>138</v>
      </c>
      <c r="T10" s="8" t="str">
        <f>VLOOKUP(A10,Listas!A$3:C$30,2,0)</f>
        <v>26101</v>
      </c>
      <c r="U10" s="19" t="s">
        <v>138</v>
      </c>
      <c r="V10" s="19" t="s">
        <v>138</v>
      </c>
      <c r="W10" s="20" t="s">
        <v>138</v>
      </c>
      <c r="X10" s="19" t="s">
        <v>138</v>
      </c>
      <c r="Y10" s="19" t="s">
        <v>138</v>
      </c>
    </row>
    <row r="11" spans="1:26" x14ac:dyDescent="0.2">
      <c r="A11" s="22" t="s">
        <v>82</v>
      </c>
      <c r="B11" s="3" t="str">
        <f>VLOOKUP(A11,Listas!A$3:C$30,3,0)</f>
        <v>Secretaria Municipal de Juventude, Esporte e Lazer</v>
      </c>
      <c r="C11" s="23" t="s">
        <v>169</v>
      </c>
      <c r="D11" s="22" t="s">
        <v>122</v>
      </c>
      <c r="E11" s="19" t="s">
        <v>131</v>
      </c>
      <c r="F11" s="22"/>
      <c r="G11" s="22"/>
      <c r="H11" s="24"/>
      <c r="I11" s="24">
        <f t="shared" si="0"/>
        <v>0</v>
      </c>
      <c r="J11" s="22"/>
      <c r="K11" s="22" t="s">
        <v>138</v>
      </c>
      <c r="L11" s="24">
        <v>0</v>
      </c>
      <c r="M11" s="21">
        <v>512</v>
      </c>
      <c r="N11" s="25" t="s">
        <v>138</v>
      </c>
      <c r="O11" s="22" t="s">
        <v>138</v>
      </c>
      <c r="P11" s="22" t="s">
        <v>138</v>
      </c>
      <c r="Q11" s="23" t="s">
        <v>188</v>
      </c>
      <c r="R11" s="22" t="s">
        <v>138</v>
      </c>
      <c r="S11" s="22" t="s">
        <v>138</v>
      </c>
      <c r="T11" s="8" t="str">
        <f>VLOOKUP(A11,Listas!A$3:C$30,2,0)</f>
        <v>26101</v>
      </c>
      <c r="U11" s="19" t="s">
        <v>138</v>
      </c>
      <c r="V11" s="19" t="s">
        <v>138</v>
      </c>
      <c r="W11" s="20" t="s">
        <v>138</v>
      </c>
      <c r="X11" s="19" t="s">
        <v>138</v>
      </c>
      <c r="Y11" s="19" t="s">
        <v>138</v>
      </c>
    </row>
    <row r="12" spans="1:26" x14ac:dyDescent="0.2">
      <c r="A12" s="22" t="s">
        <v>82</v>
      </c>
      <c r="B12" s="3" t="str">
        <f>VLOOKUP(A12,Listas!A$3:C$30,3,0)</f>
        <v>Secretaria Municipal de Juventude, Esporte e Lazer</v>
      </c>
      <c r="C12" s="23" t="s">
        <v>170</v>
      </c>
      <c r="D12" s="22" t="s">
        <v>127</v>
      </c>
      <c r="E12" s="19" t="s">
        <v>131</v>
      </c>
      <c r="F12" s="22"/>
      <c r="G12" s="22"/>
      <c r="H12" s="24"/>
      <c r="I12" s="24">
        <f t="shared" si="0"/>
        <v>0</v>
      </c>
      <c r="J12" s="22"/>
      <c r="K12" s="22" t="s">
        <v>138</v>
      </c>
      <c r="L12" s="24">
        <v>0</v>
      </c>
      <c r="M12" s="21">
        <v>513</v>
      </c>
      <c r="N12" s="25" t="s">
        <v>138</v>
      </c>
      <c r="O12" s="22" t="s">
        <v>138</v>
      </c>
      <c r="P12" s="22" t="s">
        <v>138</v>
      </c>
      <c r="Q12" s="23" t="s">
        <v>189</v>
      </c>
      <c r="R12" s="22" t="s">
        <v>138</v>
      </c>
      <c r="S12" s="22" t="s">
        <v>138</v>
      </c>
      <c r="T12" s="8" t="str">
        <f>VLOOKUP(A12,Listas!A$3:C$30,2,0)</f>
        <v>26101</v>
      </c>
      <c r="U12" s="19" t="s">
        <v>138</v>
      </c>
      <c r="V12" s="19" t="s">
        <v>138</v>
      </c>
      <c r="W12" s="20" t="s">
        <v>138</v>
      </c>
      <c r="X12" s="19" t="s">
        <v>138</v>
      </c>
      <c r="Y12" s="19" t="s">
        <v>138</v>
      </c>
    </row>
    <row r="13" spans="1:26" x14ac:dyDescent="0.2">
      <c r="A13" s="22" t="s">
        <v>82</v>
      </c>
      <c r="B13" s="3" t="str">
        <f>VLOOKUP(A13,Listas!A$3:C$30,3,0)</f>
        <v>Secretaria Municipal de Juventude, Esporte e Lazer</v>
      </c>
      <c r="C13" s="23" t="s">
        <v>171</v>
      </c>
      <c r="D13" s="22" t="s">
        <v>123</v>
      </c>
      <c r="E13" s="19" t="s">
        <v>131</v>
      </c>
      <c r="F13" s="22"/>
      <c r="G13" s="22"/>
      <c r="H13" s="24"/>
      <c r="I13" s="24">
        <f t="shared" si="0"/>
        <v>0</v>
      </c>
      <c r="J13" s="22"/>
      <c r="K13" s="22" t="s">
        <v>138</v>
      </c>
      <c r="L13" s="24">
        <v>0</v>
      </c>
      <c r="M13" s="21">
        <v>514</v>
      </c>
      <c r="N13" s="25" t="s">
        <v>138</v>
      </c>
      <c r="O13" s="22" t="s">
        <v>138</v>
      </c>
      <c r="P13" s="22" t="s">
        <v>138</v>
      </c>
      <c r="Q13" s="23" t="s">
        <v>190</v>
      </c>
      <c r="R13" s="22" t="s">
        <v>138</v>
      </c>
      <c r="S13" s="22" t="s">
        <v>138</v>
      </c>
      <c r="T13" s="8" t="str">
        <f>VLOOKUP(A13,Listas!A$3:C$30,2,0)</f>
        <v>26101</v>
      </c>
      <c r="U13" s="19" t="s">
        <v>138</v>
      </c>
      <c r="V13" s="19" t="s">
        <v>138</v>
      </c>
      <c r="W13" s="20" t="s">
        <v>138</v>
      </c>
      <c r="X13" s="19" t="s">
        <v>138</v>
      </c>
      <c r="Y13" s="19" t="s">
        <v>138</v>
      </c>
    </row>
    <row r="14" spans="1:26" x14ac:dyDescent="0.2">
      <c r="A14" s="22" t="s">
        <v>82</v>
      </c>
      <c r="B14" s="3" t="str">
        <f>VLOOKUP(A14,Listas!A$3:C$30,3,0)</f>
        <v>Secretaria Municipal de Juventude, Esporte e Lazer</v>
      </c>
      <c r="C14" s="23" t="s">
        <v>172</v>
      </c>
      <c r="D14" s="22" t="s">
        <v>122</v>
      </c>
      <c r="E14" s="19" t="s">
        <v>131</v>
      </c>
      <c r="F14" s="22"/>
      <c r="G14" s="22"/>
      <c r="H14" s="24"/>
      <c r="I14" s="24">
        <f t="shared" si="0"/>
        <v>0</v>
      </c>
      <c r="J14" s="22"/>
      <c r="K14" s="22" t="s">
        <v>138</v>
      </c>
      <c r="L14" s="24">
        <v>0</v>
      </c>
      <c r="M14" s="21">
        <v>515</v>
      </c>
      <c r="N14" s="25" t="s">
        <v>138</v>
      </c>
      <c r="O14" s="22" t="s">
        <v>138</v>
      </c>
      <c r="P14" s="22" t="s">
        <v>138</v>
      </c>
      <c r="Q14" s="23" t="s">
        <v>191</v>
      </c>
      <c r="R14" s="22" t="s">
        <v>138</v>
      </c>
      <c r="S14" s="22" t="s">
        <v>138</v>
      </c>
      <c r="T14" s="8" t="str">
        <f>VLOOKUP(A14,Listas!A$3:C$30,2,0)</f>
        <v>26101</v>
      </c>
      <c r="U14" s="19" t="s">
        <v>138</v>
      </c>
      <c r="V14" s="19" t="s">
        <v>138</v>
      </c>
      <c r="W14" s="20" t="s">
        <v>138</v>
      </c>
      <c r="X14" s="19" t="s">
        <v>138</v>
      </c>
      <c r="Y14" s="19" t="s">
        <v>138</v>
      </c>
    </row>
    <row r="15" spans="1:26" x14ac:dyDescent="0.2">
      <c r="A15" s="22" t="s">
        <v>82</v>
      </c>
      <c r="B15" s="3" t="str">
        <f>VLOOKUP(A15,Listas!A$3:C$30,3,0)</f>
        <v>Secretaria Municipal de Juventude, Esporte e Lazer</v>
      </c>
      <c r="C15" s="23" t="s">
        <v>173</v>
      </c>
      <c r="D15" s="22" t="s">
        <v>123</v>
      </c>
      <c r="E15" s="19" t="s">
        <v>131</v>
      </c>
      <c r="F15" s="22"/>
      <c r="G15" s="22"/>
      <c r="H15" s="24"/>
      <c r="I15" s="24">
        <f t="shared" si="0"/>
        <v>0</v>
      </c>
      <c r="J15" s="22"/>
      <c r="K15" s="22" t="s">
        <v>138</v>
      </c>
      <c r="L15" s="24">
        <v>0</v>
      </c>
      <c r="M15" s="21">
        <v>516</v>
      </c>
      <c r="N15" s="25" t="s">
        <v>138</v>
      </c>
      <c r="O15" s="22" t="s">
        <v>138</v>
      </c>
      <c r="P15" s="22" t="s">
        <v>138</v>
      </c>
      <c r="Q15" s="23" t="s">
        <v>192</v>
      </c>
      <c r="R15" s="22" t="s">
        <v>138</v>
      </c>
      <c r="S15" s="22" t="s">
        <v>138</v>
      </c>
      <c r="T15" s="8" t="str">
        <f>VLOOKUP(A15,Listas!A$3:C$30,2,0)</f>
        <v>26101</v>
      </c>
      <c r="U15" s="19" t="s">
        <v>138</v>
      </c>
      <c r="V15" s="19" t="s">
        <v>138</v>
      </c>
      <c r="W15" s="20" t="s">
        <v>138</v>
      </c>
      <c r="X15" s="19" t="s">
        <v>138</v>
      </c>
      <c r="Y15" s="19" t="s">
        <v>138</v>
      </c>
    </row>
    <row r="16" spans="1:26" x14ac:dyDescent="0.2">
      <c r="A16" s="22" t="s">
        <v>82</v>
      </c>
      <c r="B16" s="3" t="str">
        <f>VLOOKUP(A16,Listas!A$3:C$30,3,0)</f>
        <v>Secretaria Municipal de Juventude, Esporte e Lazer</v>
      </c>
      <c r="C16" s="23" t="s">
        <v>174</v>
      </c>
      <c r="D16" s="22" t="s">
        <v>124</v>
      </c>
      <c r="E16" s="19" t="s">
        <v>131</v>
      </c>
      <c r="F16" s="22"/>
      <c r="G16" s="22"/>
      <c r="H16" s="24"/>
      <c r="I16" s="24">
        <f t="shared" si="0"/>
        <v>0</v>
      </c>
      <c r="J16" s="22"/>
      <c r="K16" s="22" t="s">
        <v>138</v>
      </c>
      <c r="L16" s="24">
        <v>0</v>
      </c>
      <c r="M16" s="21">
        <v>517</v>
      </c>
      <c r="N16" s="25" t="s">
        <v>138</v>
      </c>
      <c r="O16" s="22" t="s">
        <v>138</v>
      </c>
      <c r="P16" s="22" t="s">
        <v>138</v>
      </c>
      <c r="Q16" s="23" t="s">
        <v>193</v>
      </c>
      <c r="R16" s="22" t="s">
        <v>138</v>
      </c>
      <c r="S16" s="22" t="s">
        <v>138</v>
      </c>
      <c r="T16" s="8" t="str">
        <f>VLOOKUP(A16,Listas!A$3:C$30,2,0)</f>
        <v>26101</v>
      </c>
      <c r="U16" s="19" t="s">
        <v>138</v>
      </c>
      <c r="V16" s="19" t="s">
        <v>138</v>
      </c>
      <c r="W16" s="20" t="s">
        <v>138</v>
      </c>
      <c r="X16" s="19" t="s">
        <v>138</v>
      </c>
      <c r="Y16" s="19" t="s">
        <v>138</v>
      </c>
    </row>
    <row r="17" spans="1:25" x14ac:dyDescent="0.2">
      <c r="A17" s="22" t="s">
        <v>82</v>
      </c>
      <c r="B17" s="3" t="str">
        <f>VLOOKUP(A17,Listas!A$3:C$30,3,0)</f>
        <v>Secretaria Municipal de Juventude, Esporte e Lazer</v>
      </c>
      <c r="C17" s="23" t="s">
        <v>175</v>
      </c>
      <c r="D17" s="22" t="s">
        <v>124</v>
      </c>
      <c r="E17" s="19" t="s">
        <v>131</v>
      </c>
      <c r="F17" s="22"/>
      <c r="G17" s="22"/>
      <c r="H17" s="24"/>
      <c r="I17" s="24">
        <f t="shared" si="0"/>
        <v>0</v>
      </c>
      <c r="J17" s="22"/>
      <c r="K17" s="22" t="s">
        <v>138</v>
      </c>
      <c r="L17" s="24">
        <v>0</v>
      </c>
      <c r="M17" s="21">
        <v>518</v>
      </c>
      <c r="N17" s="25" t="s">
        <v>138</v>
      </c>
      <c r="O17" s="22" t="s">
        <v>138</v>
      </c>
      <c r="P17" s="22" t="s">
        <v>138</v>
      </c>
      <c r="Q17" s="23" t="s">
        <v>194</v>
      </c>
      <c r="R17" s="22" t="s">
        <v>138</v>
      </c>
      <c r="S17" s="22" t="s">
        <v>138</v>
      </c>
      <c r="T17" s="8" t="str">
        <f>VLOOKUP(A17,Listas!A$3:C$30,2,0)</f>
        <v>26101</v>
      </c>
      <c r="U17" s="19" t="s">
        <v>138</v>
      </c>
      <c r="V17" s="19" t="s">
        <v>138</v>
      </c>
      <c r="W17" s="20" t="s">
        <v>138</v>
      </c>
      <c r="X17" s="19" t="s">
        <v>138</v>
      </c>
      <c r="Y17" s="19" t="s">
        <v>138</v>
      </c>
    </row>
    <row r="18" spans="1:25" x14ac:dyDescent="0.2">
      <c r="A18" s="22" t="s">
        <v>82</v>
      </c>
      <c r="B18" s="3" t="str">
        <f>VLOOKUP(A18,Listas!A$3:C$30,3,0)</f>
        <v>Secretaria Municipal de Juventude, Esporte e Lazer</v>
      </c>
      <c r="C18" s="23" t="s">
        <v>176</v>
      </c>
      <c r="D18" s="22" t="s">
        <v>127</v>
      </c>
      <c r="E18" s="19" t="s">
        <v>131</v>
      </c>
      <c r="F18" s="22"/>
      <c r="G18" s="22"/>
      <c r="H18" s="24"/>
      <c r="I18" s="24">
        <f t="shared" si="0"/>
        <v>0</v>
      </c>
      <c r="J18" s="22"/>
      <c r="K18" s="22" t="s">
        <v>138</v>
      </c>
      <c r="L18" s="24">
        <v>0</v>
      </c>
      <c r="M18" s="21">
        <v>519</v>
      </c>
      <c r="N18" s="25" t="s">
        <v>138</v>
      </c>
      <c r="O18" s="22" t="s">
        <v>138</v>
      </c>
      <c r="P18" s="22" t="s">
        <v>138</v>
      </c>
      <c r="Q18" s="23" t="s">
        <v>195</v>
      </c>
      <c r="R18" s="22" t="s">
        <v>138</v>
      </c>
      <c r="S18" s="22" t="s">
        <v>138</v>
      </c>
      <c r="T18" s="8" t="str">
        <f>VLOOKUP(A18,Listas!A$3:C$30,2,0)</f>
        <v>26101</v>
      </c>
      <c r="U18" s="19" t="s">
        <v>138</v>
      </c>
      <c r="V18" s="19" t="s">
        <v>138</v>
      </c>
      <c r="W18" s="20" t="s">
        <v>138</v>
      </c>
      <c r="X18" s="19" t="s">
        <v>138</v>
      </c>
      <c r="Y18" s="19" t="s">
        <v>138</v>
      </c>
    </row>
    <row r="19" spans="1:25" x14ac:dyDescent="0.2">
      <c r="A19" s="22" t="s">
        <v>82</v>
      </c>
      <c r="B19" s="3" t="str">
        <f>VLOOKUP(A19,Listas!A$3:C$30,3,0)</f>
        <v>Secretaria Municipal de Juventude, Esporte e Lazer</v>
      </c>
      <c r="C19" s="23" t="s">
        <v>177</v>
      </c>
      <c r="D19" s="22" t="s">
        <v>123</v>
      </c>
      <c r="E19" s="19" t="s">
        <v>131</v>
      </c>
      <c r="F19" s="22"/>
      <c r="G19" s="22"/>
      <c r="H19" s="24"/>
      <c r="I19" s="24">
        <f t="shared" si="0"/>
        <v>0</v>
      </c>
      <c r="J19" s="22"/>
      <c r="K19" s="22" t="s">
        <v>138</v>
      </c>
      <c r="L19" s="24">
        <v>0</v>
      </c>
      <c r="M19" s="21">
        <v>520</v>
      </c>
      <c r="N19" s="25" t="s">
        <v>138</v>
      </c>
      <c r="O19" s="22" t="s">
        <v>138</v>
      </c>
      <c r="P19" s="22" t="s">
        <v>138</v>
      </c>
      <c r="Q19" s="23" t="s">
        <v>196</v>
      </c>
      <c r="R19" s="22" t="s">
        <v>138</v>
      </c>
      <c r="S19" s="22" t="s">
        <v>138</v>
      </c>
      <c r="T19" s="8" t="str">
        <f>VLOOKUP(A19,Listas!A$3:C$30,2,0)</f>
        <v>26101</v>
      </c>
      <c r="U19" s="19" t="s">
        <v>138</v>
      </c>
      <c r="V19" s="19" t="s">
        <v>138</v>
      </c>
      <c r="W19" s="20" t="s">
        <v>138</v>
      </c>
      <c r="X19" s="19" t="s">
        <v>138</v>
      </c>
      <c r="Y19" s="19" t="s">
        <v>138</v>
      </c>
    </row>
    <row r="20" spans="1:25" x14ac:dyDescent="0.2">
      <c r="A20" s="22" t="s">
        <v>82</v>
      </c>
      <c r="B20" s="3" t="str">
        <f>VLOOKUP(A20,Listas!A$3:C$30,3,0)</f>
        <v>Secretaria Municipal de Juventude, Esporte e Lazer</v>
      </c>
      <c r="C20" s="23" t="s">
        <v>178</v>
      </c>
      <c r="D20" s="22" t="s">
        <v>125</v>
      </c>
      <c r="E20" s="19" t="s">
        <v>131</v>
      </c>
      <c r="F20" s="22" t="s">
        <v>129</v>
      </c>
      <c r="G20" s="22">
        <v>12635</v>
      </c>
      <c r="H20" s="24"/>
      <c r="I20" s="24">
        <f t="shared" si="0"/>
        <v>1476959.12</v>
      </c>
      <c r="J20" s="26">
        <v>44431</v>
      </c>
      <c r="K20" s="22" t="s">
        <v>138</v>
      </c>
      <c r="L20" s="24">
        <v>1476959.12</v>
      </c>
      <c r="M20" s="21">
        <v>521</v>
      </c>
      <c r="N20" s="25" t="s">
        <v>138</v>
      </c>
      <c r="O20" s="22" t="s">
        <v>138</v>
      </c>
      <c r="P20" s="22" t="s">
        <v>138</v>
      </c>
      <c r="Q20" s="23" t="s">
        <v>197</v>
      </c>
      <c r="R20" s="22" t="s">
        <v>138</v>
      </c>
      <c r="S20" s="22" t="s">
        <v>138</v>
      </c>
      <c r="T20" s="8" t="str">
        <f>VLOOKUP(A20,Listas!A$3:C$30,2,0)</f>
        <v>26101</v>
      </c>
      <c r="U20" s="19" t="s">
        <v>138</v>
      </c>
      <c r="V20" s="19" t="s">
        <v>138</v>
      </c>
      <c r="W20" s="20" t="s">
        <v>138</v>
      </c>
      <c r="X20" s="19" t="s">
        <v>138</v>
      </c>
      <c r="Y20" s="19" t="s">
        <v>138</v>
      </c>
    </row>
    <row r="21" spans="1:25" x14ac:dyDescent="0.2">
      <c r="A21" s="22" t="s">
        <v>82</v>
      </c>
      <c r="B21" s="3" t="str">
        <f>VLOOKUP(A21,Listas!A$3:C$30,3,0)</f>
        <v>Secretaria Municipal de Juventude, Esporte e Lazer</v>
      </c>
      <c r="C21" s="23" t="s">
        <v>179</v>
      </c>
      <c r="D21" s="22" t="s">
        <v>126</v>
      </c>
      <c r="E21" s="19" t="s">
        <v>131</v>
      </c>
      <c r="F21" s="22" t="s">
        <v>130</v>
      </c>
      <c r="G21" s="22">
        <v>27915</v>
      </c>
      <c r="H21" s="24"/>
      <c r="I21" s="24">
        <f t="shared" si="0"/>
        <v>0</v>
      </c>
      <c r="J21" s="22"/>
      <c r="K21" s="22" t="s">
        <v>138</v>
      </c>
      <c r="L21" s="24">
        <v>0</v>
      </c>
      <c r="M21" s="21">
        <v>522</v>
      </c>
      <c r="N21" s="25" t="s">
        <v>138</v>
      </c>
      <c r="O21" s="22" t="s">
        <v>138</v>
      </c>
      <c r="P21" s="22" t="s">
        <v>138</v>
      </c>
      <c r="Q21" s="23" t="s">
        <v>198</v>
      </c>
      <c r="R21" s="22" t="s">
        <v>138</v>
      </c>
      <c r="S21" s="22" t="s">
        <v>138</v>
      </c>
      <c r="T21" s="8" t="str">
        <f>VLOOKUP(A21,Listas!A$3:C$30,2,0)</f>
        <v>26101</v>
      </c>
      <c r="U21" s="19" t="s">
        <v>138</v>
      </c>
      <c r="V21" s="19" t="s">
        <v>138</v>
      </c>
      <c r="W21" s="20" t="s">
        <v>138</v>
      </c>
      <c r="X21" s="19" t="s">
        <v>138</v>
      </c>
      <c r="Y21" s="19" t="s">
        <v>138</v>
      </c>
    </row>
    <row r="22" spans="1:25" x14ac:dyDescent="0.2">
      <c r="A22" s="22" t="s">
        <v>82</v>
      </c>
      <c r="B22" s="3" t="str">
        <f>VLOOKUP(A22,Listas!A$3:C$30,3,0)</f>
        <v>Secretaria Municipal de Juventude, Esporte e Lazer</v>
      </c>
      <c r="C22" s="23" t="s">
        <v>136</v>
      </c>
      <c r="D22" s="22" t="s">
        <v>122</v>
      </c>
      <c r="E22" s="19" t="s">
        <v>131</v>
      </c>
      <c r="F22" s="22"/>
      <c r="G22" s="22"/>
      <c r="H22" s="24"/>
      <c r="I22" s="24">
        <f t="shared" si="0"/>
        <v>0</v>
      </c>
      <c r="J22" s="22"/>
      <c r="K22" s="22" t="s">
        <v>138</v>
      </c>
      <c r="L22" s="24">
        <v>0</v>
      </c>
      <c r="M22" s="21">
        <v>523</v>
      </c>
      <c r="N22" s="25" t="s">
        <v>138</v>
      </c>
      <c r="O22" s="22" t="s">
        <v>138</v>
      </c>
      <c r="P22" s="22" t="s">
        <v>138</v>
      </c>
      <c r="Q22" s="23" t="s">
        <v>199</v>
      </c>
      <c r="R22" s="22" t="s">
        <v>138</v>
      </c>
      <c r="S22" s="22" t="s">
        <v>138</v>
      </c>
      <c r="T22" s="8" t="str">
        <f>VLOOKUP(A22,Listas!A$3:C$30,2,0)</f>
        <v>26101</v>
      </c>
      <c r="U22" s="19" t="s">
        <v>138</v>
      </c>
      <c r="V22" s="19" t="s">
        <v>138</v>
      </c>
      <c r="W22" s="20" t="s">
        <v>138</v>
      </c>
      <c r="X22" s="19" t="s">
        <v>138</v>
      </c>
      <c r="Y22" s="19" t="s">
        <v>138</v>
      </c>
    </row>
    <row r="23" spans="1:25" x14ac:dyDescent="0.2">
      <c r="A23" s="22" t="s">
        <v>82</v>
      </c>
      <c r="B23" s="3" t="str">
        <f>VLOOKUP(A23,Listas!A$3:C$30,3,0)</f>
        <v>Secretaria Municipal de Juventude, Esporte e Lazer</v>
      </c>
      <c r="C23" s="23" t="s">
        <v>180</v>
      </c>
      <c r="D23" s="22" t="s">
        <v>126</v>
      </c>
      <c r="E23" s="19" t="s">
        <v>131</v>
      </c>
      <c r="F23" s="22"/>
      <c r="G23" s="22"/>
      <c r="H23" s="24"/>
      <c r="I23" s="24">
        <f>H23+L23</f>
        <v>0</v>
      </c>
      <c r="J23" s="22"/>
      <c r="K23" s="22" t="s">
        <v>138</v>
      </c>
      <c r="L23" s="24">
        <v>0</v>
      </c>
      <c r="M23" s="21">
        <v>524</v>
      </c>
      <c r="N23" s="25" t="s">
        <v>138</v>
      </c>
      <c r="O23" s="22" t="s">
        <v>138</v>
      </c>
      <c r="P23" s="22" t="s">
        <v>138</v>
      </c>
      <c r="Q23" s="23" t="s">
        <v>200</v>
      </c>
      <c r="R23" s="22" t="s">
        <v>138</v>
      </c>
      <c r="S23" s="22" t="s">
        <v>138</v>
      </c>
      <c r="T23" s="8" t="str">
        <f>VLOOKUP(A23,Listas!A$3:C$30,2,0)</f>
        <v>26101</v>
      </c>
      <c r="U23" s="19" t="s">
        <v>138</v>
      </c>
      <c r="V23" s="19" t="s">
        <v>138</v>
      </c>
      <c r="W23" s="20" t="s">
        <v>138</v>
      </c>
      <c r="X23" s="19" t="s">
        <v>138</v>
      </c>
      <c r="Y23" s="19" t="s">
        <v>138</v>
      </c>
    </row>
    <row r="24" spans="1:25" x14ac:dyDescent="0.2">
      <c r="A24" s="22" t="s">
        <v>82</v>
      </c>
      <c r="B24" s="3" t="str">
        <f>VLOOKUP(A24,Listas!A$3:C$30,3,0)</f>
        <v>Secretaria Municipal de Juventude, Esporte e Lazer</v>
      </c>
      <c r="C24" s="23" t="s">
        <v>202</v>
      </c>
      <c r="D24" s="22" t="s">
        <v>128</v>
      </c>
      <c r="E24" s="19" t="s">
        <v>131</v>
      </c>
      <c r="F24" s="22"/>
      <c r="G24" s="22"/>
      <c r="H24" s="24"/>
      <c r="I24" s="24">
        <f t="shared" si="0"/>
        <v>0</v>
      </c>
      <c r="J24" s="22"/>
      <c r="K24" s="22" t="s">
        <v>138</v>
      </c>
      <c r="L24" s="24">
        <v>0</v>
      </c>
      <c r="M24" s="21">
        <v>525</v>
      </c>
      <c r="N24" s="25" t="s">
        <v>138</v>
      </c>
      <c r="O24" s="22" t="s">
        <v>138</v>
      </c>
      <c r="P24" s="22" t="s">
        <v>138</v>
      </c>
      <c r="Q24" s="23" t="s">
        <v>201</v>
      </c>
      <c r="R24" s="22" t="s">
        <v>138</v>
      </c>
      <c r="S24" s="22" t="s">
        <v>138</v>
      </c>
      <c r="T24" s="8" t="str">
        <f>VLOOKUP(A24,Listas!A$3:C$30,2,0)</f>
        <v>26101</v>
      </c>
      <c r="U24" s="19" t="s">
        <v>138</v>
      </c>
      <c r="V24" s="19" t="s">
        <v>138</v>
      </c>
      <c r="W24" s="20" t="s">
        <v>138</v>
      </c>
      <c r="X24" s="19" t="s">
        <v>138</v>
      </c>
      <c r="Y24" s="19" t="s">
        <v>138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'N:\DPAT\_GESTÃO DE IMÓVEIS\1.INFORMAÇÕES IMÓVEIS\IMÓVEIS COM REGISTRO E SEM REGISTRO\[BEM IMÓVEL - SEMJEL_ajuste.xlsx]Listas'!#REF!</xm:f>
          </x14:formula1>
          <xm:sqref>A4:A24 S4:S24 P4:P24 D4:D24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7" t="s">
        <v>4</v>
      </c>
      <c r="B2" s="7" t="s">
        <v>75</v>
      </c>
      <c r="C2" s="7" t="s">
        <v>40</v>
      </c>
      <c r="D2" s="7" t="s">
        <v>16</v>
      </c>
      <c r="E2" s="7" t="s">
        <v>1</v>
      </c>
      <c r="F2" s="7" t="s">
        <v>14</v>
      </c>
      <c r="G2" s="7" t="s">
        <v>2</v>
      </c>
    </row>
    <row r="3" spans="1:7" x14ac:dyDescent="0.25">
      <c r="A3" s="5" t="s">
        <v>118</v>
      </c>
      <c r="B3" s="5" t="s">
        <v>120</v>
      </c>
      <c r="C3" s="5" t="s">
        <v>119</v>
      </c>
      <c r="D3" s="5" t="s">
        <v>18</v>
      </c>
      <c r="E3" s="5" t="s">
        <v>27</v>
      </c>
      <c r="F3" s="5" t="s">
        <v>31</v>
      </c>
      <c r="G3" s="5" t="s">
        <v>33</v>
      </c>
    </row>
    <row r="4" spans="1:7" x14ac:dyDescent="0.25">
      <c r="A4" s="5" t="s">
        <v>43</v>
      </c>
      <c r="B4" s="5" t="s">
        <v>44</v>
      </c>
      <c r="C4" s="5" t="s">
        <v>45</v>
      </c>
      <c r="D4" s="5" t="s">
        <v>17</v>
      </c>
      <c r="E4" s="5" t="s">
        <v>26</v>
      </c>
      <c r="F4" s="5" t="s">
        <v>32</v>
      </c>
      <c r="G4" s="5" t="s">
        <v>34</v>
      </c>
    </row>
    <row r="5" spans="1:7" x14ac:dyDescent="0.25">
      <c r="A5" s="5" t="s">
        <v>46</v>
      </c>
      <c r="B5" s="5" t="s">
        <v>47</v>
      </c>
      <c r="C5" s="5" t="s">
        <v>121</v>
      </c>
      <c r="D5" s="5" t="s">
        <v>19</v>
      </c>
      <c r="E5" s="5" t="s">
        <v>25</v>
      </c>
      <c r="F5" s="5" t="s">
        <v>29</v>
      </c>
      <c r="G5" s="5" t="s">
        <v>35</v>
      </c>
    </row>
    <row r="6" spans="1:7" x14ac:dyDescent="0.25">
      <c r="A6" s="5" t="s">
        <v>72</v>
      </c>
      <c r="B6" s="5" t="s">
        <v>73</v>
      </c>
      <c r="C6" s="5" t="s">
        <v>74</v>
      </c>
      <c r="D6" s="5" t="s">
        <v>138</v>
      </c>
      <c r="E6" s="5" t="s">
        <v>24</v>
      </c>
      <c r="F6" s="5" t="s">
        <v>28</v>
      </c>
      <c r="G6" s="5" t="s">
        <v>36</v>
      </c>
    </row>
    <row r="7" spans="1:7" x14ac:dyDescent="0.25">
      <c r="A7" s="5" t="s">
        <v>57</v>
      </c>
      <c r="B7" s="5" t="s">
        <v>58</v>
      </c>
      <c r="C7" s="5" t="s">
        <v>59</v>
      </c>
      <c r="D7" s="5"/>
      <c r="E7" s="5" t="s">
        <v>22</v>
      </c>
      <c r="F7" s="5" t="s">
        <v>30</v>
      </c>
      <c r="G7" s="5" t="s">
        <v>37</v>
      </c>
    </row>
    <row r="8" spans="1:7" x14ac:dyDescent="0.25">
      <c r="A8" s="5" t="s">
        <v>39</v>
      </c>
      <c r="B8" s="5" t="s">
        <v>41</v>
      </c>
      <c r="C8" s="5" t="s">
        <v>42</v>
      </c>
      <c r="D8" s="5"/>
      <c r="E8" s="5" t="s">
        <v>20</v>
      </c>
      <c r="F8" s="5" t="s">
        <v>138</v>
      </c>
      <c r="G8" s="5" t="s">
        <v>138</v>
      </c>
    </row>
    <row r="9" spans="1:7" x14ac:dyDescent="0.25">
      <c r="A9" s="5" t="s">
        <v>103</v>
      </c>
      <c r="B9" s="5" t="s">
        <v>104</v>
      </c>
      <c r="C9" s="5" t="s">
        <v>105</v>
      </c>
      <c r="D9" s="5"/>
      <c r="E9" s="5" t="s">
        <v>23</v>
      </c>
      <c r="F9" s="5"/>
      <c r="G9" s="5"/>
    </row>
    <row r="10" spans="1:7" x14ac:dyDescent="0.25">
      <c r="A10" s="5" t="s">
        <v>76</v>
      </c>
      <c r="B10" s="5" t="s">
        <v>77</v>
      </c>
      <c r="C10" s="5" t="s">
        <v>78</v>
      </c>
      <c r="D10" s="5"/>
      <c r="E10" s="5" t="s">
        <v>21</v>
      </c>
      <c r="F10" s="5"/>
      <c r="G10" s="5"/>
    </row>
    <row r="11" spans="1:7" x14ac:dyDescent="0.25">
      <c r="A11" s="5" t="s">
        <v>48</v>
      </c>
      <c r="B11" s="5" t="s">
        <v>49</v>
      </c>
      <c r="C11" s="5" t="s">
        <v>50</v>
      </c>
      <c r="D11" s="5"/>
      <c r="E11" s="5"/>
      <c r="F11" s="5"/>
      <c r="G11" s="5"/>
    </row>
    <row r="12" spans="1:7" x14ac:dyDescent="0.25">
      <c r="A12" s="5" t="s">
        <v>109</v>
      </c>
      <c r="B12" s="5" t="s">
        <v>110</v>
      </c>
      <c r="C12" s="5" t="s">
        <v>111</v>
      </c>
      <c r="D12" s="5"/>
      <c r="E12" s="5"/>
      <c r="F12" s="5"/>
      <c r="G12" s="5"/>
    </row>
    <row r="13" spans="1:7" x14ac:dyDescent="0.25">
      <c r="A13" s="5" t="s">
        <v>106</v>
      </c>
      <c r="B13" s="5" t="s">
        <v>107</v>
      </c>
      <c r="C13" s="5" t="s">
        <v>108</v>
      </c>
      <c r="D13" s="5"/>
      <c r="E13" s="5"/>
      <c r="F13" s="5"/>
      <c r="G13" s="5"/>
    </row>
    <row r="14" spans="1:7" x14ac:dyDescent="0.25">
      <c r="A14" s="5" t="s">
        <v>112</v>
      </c>
      <c r="B14" s="5" t="s">
        <v>113</v>
      </c>
      <c r="C14" s="5" t="s">
        <v>114</v>
      </c>
      <c r="D14" s="5"/>
      <c r="E14" s="5"/>
      <c r="F14" s="5"/>
      <c r="G14" s="5"/>
    </row>
    <row r="15" spans="1:7" x14ac:dyDescent="0.25">
      <c r="A15" s="5" t="s">
        <v>115</v>
      </c>
      <c r="B15" s="5" t="s">
        <v>116</v>
      </c>
      <c r="C15" s="5" t="s">
        <v>117</v>
      </c>
      <c r="D15" s="5"/>
      <c r="E15" s="5"/>
      <c r="F15" s="5"/>
      <c r="G15" s="5"/>
    </row>
    <row r="16" spans="1:7" x14ac:dyDescent="0.25">
      <c r="A16" s="5" t="s">
        <v>51</v>
      </c>
      <c r="B16" s="5" t="s">
        <v>52</v>
      </c>
      <c r="C16" s="5" t="s">
        <v>53</v>
      </c>
      <c r="D16" s="5"/>
      <c r="E16" s="5"/>
      <c r="F16" s="5"/>
      <c r="G16" s="5"/>
    </row>
    <row r="17" spans="1:7" x14ac:dyDescent="0.25">
      <c r="A17" s="5" t="s">
        <v>97</v>
      </c>
      <c r="B17" s="5" t="s">
        <v>98</v>
      </c>
      <c r="C17" s="5" t="s">
        <v>99</v>
      </c>
      <c r="D17" s="5"/>
      <c r="E17" s="5"/>
      <c r="F17" s="5"/>
      <c r="G17" s="5"/>
    </row>
    <row r="18" spans="1:7" x14ac:dyDescent="0.25">
      <c r="A18" s="5" t="s">
        <v>54</v>
      </c>
      <c r="B18" s="5" t="s">
        <v>55</v>
      </c>
      <c r="C18" s="5" t="s">
        <v>56</v>
      </c>
      <c r="D18" s="5"/>
      <c r="E18" s="5"/>
      <c r="F18" s="5"/>
      <c r="G18" s="5"/>
    </row>
    <row r="19" spans="1:7" x14ac:dyDescent="0.25">
      <c r="A19" s="5" t="s">
        <v>91</v>
      </c>
      <c r="B19" s="5" t="s">
        <v>93</v>
      </c>
      <c r="C19" s="5" t="s">
        <v>92</v>
      </c>
      <c r="D19" s="5"/>
      <c r="E19" s="5"/>
      <c r="F19" s="5"/>
      <c r="G19" s="5"/>
    </row>
    <row r="20" spans="1:7" x14ac:dyDescent="0.25">
      <c r="A20" s="5" t="s">
        <v>66</v>
      </c>
      <c r="B20" s="5" t="s">
        <v>67</v>
      </c>
      <c r="C20" s="5" t="s">
        <v>68</v>
      </c>
      <c r="D20" s="5"/>
      <c r="E20" s="5"/>
      <c r="F20" s="5"/>
      <c r="G20" s="5"/>
    </row>
    <row r="21" spans="1:7" x14ac:dyDescent="0.25">
      <c r="A21" s="5" t="s">
        <v>63</v>
      </c>
      <c r="B21" s="5" t="s">
        <v>64</v>
      </c>
      <c r="C21" s="5" t="s">
        <v>65</v>
      </c>
      <c r="D21" s="5"/>
      <c r="E21" s="5"/>
      <c r="F21" s="5"/>
      <c r="G21" s="5"/>
    </row>
    <row r="22" spans="1:7" x14ac:dyDescent="0.25">
      <c r="A22" s="5" t="s">
        <v>60</v>
      </c>
      <c r="B22" s="5" t="s">
        <v>61</v>
      </c>
      <c r="C22" s="5" t="s">
        <v>62</v>
      </c>
      <c r="D22" s="5"/>
      <c r="E22" s="5"/>
      <c r="F22" s="5"/>
      <c r="G22" s="5"/>
    </row>
    <row r="23" spans="1:7" x14ac:dyDescent="0.25">
      <c r="A23" s="5" t="s">
        <v>100</v>
      </c>
      <c r="B23" s="5" t="s">
        <v>101</v>
      </c>
      <c r="C23" s="5" t="s">
        <v>102</v>
      </c>
      <c r="D23" s="5"/>
      <c r="E23" s="5"/>
      <c r="F23" s="5"/>
      <c r="G23" s="5"/>
    </row>
    <row r="24" spans="1:7" x14ac:dyDescent="0.25">
      <c r="A24" s="5" t="s">
        <v>85</v>
      </c>
      <c r="B24" s="5" t="s">
        <v>86</v>
      </c>
      <c r="C24" s="5" t="s">
        <v>87</v>
      </c>
      <c r="D24" s="5"/>
      <c r="E24" s="5"/>
      <c r="F24" s="5"/>
      <c r="G24" s="5"/>
    </row>
    <row r="25" spans="1:7" x14ac:dyDescent="0.25">
      <c r="A25" s="5" t="s">
        <v>82</v>
      </c>
      <c r="B25" s="5" t="s">
        <v>83</v>
      </c>
      <c r="C25" s="5" t="s">
        <v>84</v>
      </c>
      <c r="D25" s="5"/>
      <c r="E25" s="5"/>
      <c r="F25" s="5"/>
      <c r="G25" s="5"/>
    </row>
    <row r="26" spans="1:7" x14ac:dyDescent="0.25">
      <c r="A26" s="5" t="s">
        <v>88</v>
      </c>
      <c r="B26" s="5" t="s">
        <v>89</v>
      </c>
      <c r="C26" s="5" t="s">
        <v>90</v>
      </c>
      <c r="D26" s="5"/>
      <c r="E26" s="5"/>
      <c r="F26" s="5"/>
      <c r="G26" s="5"/>
    </row>
    <row r="27" spans="1:7" x14ac:dyDescent="0.25">
      <c r="A27" s="5" t="s">
        <v>132</v>
      </c>
      <c r="B27" s="5" t="s">
        <v>133</v>
      </c>
      <c r="C27" s="5" t="s">
        <v>134</v>
      </c>
      <c r="D27" s="5"/>
      <c r="E27" s="5"/>
      <c r="F27" s="5"/>
      <c r="G27" s="5"/>
    </row>
    <row r="28" spans="1:7" x14ac:dyDescent="0.25">
      <c r="A28" s="5" t="s">
        <v>80</v>
      </c>
      <c r="B28" s="5" t="s">
        <v>81</v>
      </c>
      <c r="C28" s="5" t="s">
        <v>79</v>
      </c>
      <c r="D28" s="5"/>
      <c r="E28" s="5"/>
      <c r="F28" s="5"/>
      <c r="G28" s="5"/>
    </row>
    <row r="29" spans="1:7" x14ac:dyDescent="0.25">
      <c r="A29" s="5" t="s">
        <v>69</v>
      </c>
      <c r="B29" s="5" t="s">
        <v>70</v>
      </c>
      <c r="C29" s="5" t="s">
        <v>71</v>
      </c>
      <c r="D29" s="5"/>
      <c r="E29" s="5"/>
      <c r="F29" s="5"/>
      <c r="G29" s="5"/>
    </row>
    <row r="30" spans="1:7" x14ac:dyDescent="0.25">
      <c r="A30" s="5" t="s">
        <v>94</v>
      </c>
      <c r="B30" s="5" t="s">
        <v>95</v>
      </c>
      <c r="C30" s="5" t="s">
        <v>96</v>
      </c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5"/>
      <c r="B53" s="5"/>
      <c r="C53" s="5"/>
      <c r="D53" s="5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5"/>
      <c r="B55" s="5"/>
      <c r="C55" s="5"/>
      <c r="D55" s="5"/>
      <c r="E55" s="5"/>
      <c r="F55" s="5"/>
      <c r="G55" s="5"/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2026-04-30T17:21:30Z</dcterms:modified>
</cp:coreProperties>
</file>