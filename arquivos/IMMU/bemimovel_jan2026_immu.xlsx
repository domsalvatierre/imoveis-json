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PAT\_GESTÃO DE IMÓVEIS\1.INFORMAÇÕES IMÓVEIS\IMÓVEIS COM REGISTRO E SEM REGISTRO\"/>
    </mc:Choice>
  </mc:AlternateContent>
  <bookViews>
    <workbookView xWindow="0" yWindow="0" windowWidth="28800" windowHeight="12330"/>
  </bookViews>
  <sheets>
    <sheet name="Bens Imóveis" sheetId="1" r:id="rId1"/>
    <sheet name="Listas" sheetId="2" r:id="rId2"/>
  </sheets>
  <definedNames>
    <definedName name="_xlnm._FilterDatabase" localSheetId="0" hidden="1">'Bens Imóveis'!$A$3:$Y$71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I8" i="1" l="1"/>
  <c r="B8" i="1"/>
  <c r="B31" i="1" l="1"/>
  <c r="I31" i="1"/>
  <c r="B32" i="1"/>
  <c r="I32" i="1"/>
  <c r="B33" i="1"/>
  <c r="I33" i="1"/>
  <c r="B34" i="1"/>
  <c r="I34" i="1"/>
  <c r="B35" i="1"/>
  <c r="I35" i="1"/>
  <c r="B36" i="1"/>
  <c r="I36" i="1"/>
  <c r="B37" i="1"/>
  <c r="I37" i="1"/>
  <c r="B38" i="1"/>
  <c r="I38" i="1"/>
  <c r="B39" i="1"/>
  <c r="I39" i="1"/>
  <c r="B40" i="1"/>
  <c r="I40" i="1"/>
  <c r="B41" i="1"/>
  <c r="I41" i="1"/>
  <c r="B42" i="1"/>
  <c r="I42" i="1"/>
  <c r="B43" i="1"/>
  <c r="I43" i="1"/>
  <c r="B44" i="1"/>
  <c r="I44" i="1"/>
  <c r="B45" i="1"/>
  <c r="I45" i="1"/>
  <c r="B46" i="1"/>
  <c r="I46" i="1"/>
  <c r="B47" i="1"/>
  <c r="I47" i="1"/>
  <c r="B48" i="1"/>
  <c r="I48" i="1"/>
  <c r="B49" i="1"/>
  <c r="I49" i="1"/>
  <c r="B50" i="1"/>
  <c r="I50" i="1"/>
  <c r="B51" i="1"/>
  <c r="I51" i="1"/>
  <c r="B52" i="1"/>
  <c r="I52" i="1"/>
  <c r="B53" i="1"/>
  <c r="I53" i="1"/>
  <c r="B54" i="1"/>
  <c r="I54" i="1"/>
  <c r="B55" i="1"/>
  <c r="I55" i="1"/>
  <c r="B56" i="1"/>
  <c r="I56" i="1"/>
  <c r="B57" i="1"/>
  <c r="I57" i="1"/>
  <c r="B58" i="1"/>
  <c r="I58" i="1"/>
  <c r="B59" i="1"/>
  <c r="I59" i="1"/>
  <c r="B60" i="1"/>
  <c r="I60" i="1"/>
  <c r="B61" i="1"/>
  <c r="I61" i="1"/>
  <c r="B62" i="1"/>
  <c r="I62" i="1"/>
  <c r="B63" i="1"/>
  <c r="I63" i="1"/>
  <c r="B64" i="1"/>
  <c r="I64" i="1"/>
  <c r="B65" i="1"/>
  <c r="I65" i="1"/>
  <c r="B66" i="1"/>
  <c r="I66" i="1"/>
  <c r="B67" i="1"/>
  <c r="I67" i="1"/>
  <c r="B68" i="1"/>
  <c r="I68" i="1"/>
  <c r="B69" i="1"/>
  <c r="I69" i="1"/>
  <c r="B70" i="1"/>
  <c r="I70" i="1"/>
  <c r="B71" i="1"/>
  <c r="I71" i="1"/>
  <c r="B4" i="1" l="1"/>
  <c r="B5" i="1"/>
  <c r="B6" i="1"/>
  <c r="B7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I4" i="1" l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</calcChain>
</file>

<file path=xl/sharedStrings.xml><?xml version="1.0" encoding="utf-8"?>
<sst xmlns="http://schemas.openxmlformats.org/spreadsheetml/2006/main" count="1246" uniqueCount="299">
  <si>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</si>
  <si>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</si>
  <si>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</si>
  <si>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</si>
  <si>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</si>
  <si>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</si>
  <si>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</si>
  <si>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</si>
  <si>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</si>
  <si>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</si>
  <si>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</si>
  <si>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</si>
  <si>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</si>
  <si>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</si>
  <si>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</si>
  <si>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</si>
  <si>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</si>
  <si>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</si>
  <si>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</si>
  <si>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</si>
  <si>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</si>
  <si>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</si>
  <si>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</si>
  <si>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</si>
  <si>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</si>
  <si>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</si>
  <si>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</si>
  <si>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</si>
  <si>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</si>
  <si>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</si>
  <si>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</si>
  <si>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</si>
  <si>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</si>
  <si>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</si>
  <si>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</si>
  <si>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</si>
  <si>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</si>
  <si>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</si>
  <si>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</si>
  <si>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</si>
  <si>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</si>
  <si>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</si>
  <si>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</si>
  <si>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</si>
  <si>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</si>
  <si>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</si>
  <si>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</si>
  <si>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</si>
  <si>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</si>
  <si>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</si>
  <si>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</si>
  <si>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</si>
  <si>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</si>
  <si>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</si>
  <si>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</si>
  <si>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</si>
  <si>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</si>
  <si>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</si>
  <si>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</si>
  <si>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</si>
  <si>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</si>
  <si>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</si>
  <si>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</si>
  <si>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</si>
  <si>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</si>
  <si>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</si>
  <si>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</si>
  <si>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</si>
  <si>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</si>
  <si>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</si>
  <si>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</si>
  <si>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</si>
  <si>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</si>
  <si>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</si>
  <si>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</si>
  <si>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</si>
  <si>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</si>
  <si>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</si>
  <si>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</si>
  <si>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</si>
  <si>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</si>
  <si>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</si>
  <si>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</si>
  <si>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</si>
  <si>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</si>
  <si>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</si>
  <si>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</si>
  <si>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</si>
  <si>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</si>
  <si>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</si>
  <si>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</si>
  <si>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</si>
  <si>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</si>
  <si>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</si>
  <si>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</si>
  <si>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</si>
  <si>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</si>
  <si>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</si>
  <si>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</si>
  <si>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</si>
  <si>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</si>
  <si>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</si>
  <si>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</si>
  <si>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</si>
  <si>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</si>
  <si>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</si>
  <si>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</si>
  <si>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</si>
  <si>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</si>
  <si>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</si>
  <si>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</si>
  <si>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</si>
  <si>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</si>
  <si>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</si>
  <si>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</si>
  <si>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</si>
  <si>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</si>
  <si>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</si>
  <si>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</si>
  <si>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</si>
  <si>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</si>
  <si>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>Av. Urucará, 1180 -  Cachoeirinha - CEP 69.065-180</t>
  </si>
  <si>
    <t>Av. Urucará,1115 - Cachoeirinha - CEP 69.065-180</t>
  </si>
  <si>
    <t>Av. Umberto Calderaro, S/Nº - Adrianópolis - CEP 69.057-015</t>
  </si>
  <si>
    <t>Av. Tancredo neves, 1767 - Parque 10 de Novembro - CEP 69054-040</t>
  </si>
  <si>
    <t>Rua Anabi, Nº 61 - Cidade Nova - CEP 69.090-359</t>
  </si>
  <si>
    <t>Av. Constantino Nery, S/Nº - Centro - CEP 69.010-160</t>
  </si>
  <si>
    <t>Av. Manicoré, 302-434 - Cachoeirinha - CEP 69.065-100</t>
  </si>
  <si>
    <t>Av. Noel Nutels, 222 - Cidade Nova - CEP 69095-000</t>
  </si>
  <si>
    <t>Av. Camapuã, S/Nº - Cidade Nova - 69.097-720</t>
  </si>
  <si>
    <t xml:space="preserve">Av. Cosme Ferreira, 1 - São José Operário - CEP 69.085-015 </t>
  </si>
  <si>
    <t>Cruzamento das Av. Governador José Lindoso (Av. das Torres) e Av. Comendador José Cruz, Lago Azul</t>
  </si>
  <si>
    <t>Cruzamento das Av. Torquato Tapajós e do Turismo, Tarumã</t>
  </si>
  <si>
    <t>Rua Loris Cordovil, 1, Arena E2 - Flores - CEP 69.058-805</t>
  </si>
  <si>
    <t>Torquato Tapajos, 1, Santos Dumont E3 - Flores - CEP - 69.058-830</t>
  </si>
  <si>
    <t>Av. Max Teixeira, S/Nº - Cidade Nova -  CEP 69.090-002</t>
  </si>
  <si>
    <t>Av. São Jorge, S/Nº - E1 - São Geraldo - CEP 69.053-255</t>
  </si>
  <si>
    <t>Rua Escandinávia, S/Nº - São Lázaro  -CEP 69.073-524</t>
  </si>
  <si>
    <t>Rua Americo Alvares, S/Nº - Japiim - CEP 69.078-520</t>
  </si>
  <si>
    <t>Rua Náutico, S/Nº - Petrópolis - CEP 69.067-130</t>
  </si>
  <si>
    <t>Rua Doutor Oscar Barroso, S/Nº - Japiim - CEP 69.077-773</t>
  </si>
  <si>
    <t>Rua Virgílio Ramos, S/Nº - São Raimundo - CEP 69.027-060</t>
  </si>
  <si>
    <t>Rua Pólis - Tarumã Açu,S/Nº - CEP 69.023-155</t>
  </si>
  <si>
    <t>EstRua do Bombeamento, S/Nº - Compensa - CEP 69.035-351</t>
  </si>
  <si>
    <t>Av. Coronel Teixeira, 9955 - Ponta Negra - CEP 69.037-000</t>
  </si>
  <si>
    <t>Rua Mário Sahdo, S/Nº - Redenção - CEP 69.049-570</t>
  </si>
  <si>
    <t>Rua Ribeirinho, S/Nº - Alvorada - CEP 69.042-838</t>
  </si>
  <si>
    <t>Rua Ary Brandão de Oliveira, S/Nº - Vila da Prata - CEP 69.030-540</t>
  </si>
  <si>
    <t>Rua Bartolomeu B. da Silva, S/Nº - Dom Pedro I - CEP 69.040-070</t>
  </si>
  <si>
    <t>Rua Wagner da Paz, S/Nº - Da Paz - CEP 69.048-000</t>
  </si>
  <si>
    <t>Rua Sul, S/Nº - Alvorada - CEP 69.046-740</t>
  </si>
  <si>
    <t>Rua Clorita, S/Nº - Lírio do Vale - CEP 69.038-050</t>
  </si>
  <si>
    <t>Rua Antônia Dalva, S/Nº - Nova Esperança - CEP 69.037-571</t>
  </si>
  <si>
    <t>Av. Hilário Cavalcante de Moraes, S/Nº - Planalto - CEP 69.044-770</t>
  </si>
  <si>
    <t>Rua Doutor Elviro Dantas, S/Nº - Coroado - CEP 69.082-640</t>
  </si>
  <si>
    <t>Rua Ivailândia, S/Nº - Coroado - CEP 69.082-125</t>
  </si>
  <si>
    <t>Rua Pe. Mario, S/Nº - Colônia Antônio Aleixo - CEP 69.008-120</t>
  </si>
  <si>
    <t>Rua Manjericão, S/Nº - Jorge Teixeira - CEP 69.088-472</t>
  </si>
  <si>
    <t>Av. Rio Mamoré, S/Nº - Armando Mendes - CEP 69.089-340</t>
  </si>
  <si>
    <t>Rua Itagiba, S/Nº - Novo Aleixo - CEP 69.099-111</t>
  </si>
  <si>
    <t>Rua Doutor Ulisses Guimarães, S/Nº - Monte das Oliveiras - CEP 69.093-751</t>
  </si>
  <si>
    <t>Rua Pôr do Sol, S/Nº - Cidade de Deus - CEP 69.099-796</t>
  </si>
  <si>
    <t>Av. da Gentileza, S/Nº - Lago Azul - CEP 69.018-682</t>
  </si>
  <si>
    <t>Rua Nagib Salem, S/Nº - Colônia Santo Antônio - CEP 6.9093-060</t>
  </si>
  <si>
    <t>Av. 17 de Março, S/Nº - Santa Etelvina - 69.059-260</t>
  </si>
  <si>
    <t>Rua Itiquir, S/Nº - Cidade Nova - CEP 69.097-748</t>
  </si>
  <si>
    <t>Av. Maria Marreira, S/Nº - Monte das Oliveiras - CEP 69.092-651</t>
  </si>
  <si>
    <t>Av. Edmundo Soares, S/Nº - Flores - CEP 69.028-314</t>
  </si>
  <si>
    <t>Rua Miako, S/Nº - Parque Dez de Novembro - CEP 69.054-666</t>
  </si>
  <si>
    <t>Rua Nazareth Mesquita, S/Nº - Parque 10 de Novembro - CEP 69.054-501</t>
  </si>
  <si>
    <t>Rua Oscarito, S/Nº - Aleixo - CEP 69.060-260</t>
  </si>
  <si>
    <t>Rua Oswaldo Cruz, S/Nº - Glória - CEP 69.027-000</t>
  </si>
  <si>
    <t>Rua Nelson Rodrigues, S/Nº - Compensa - CEP 69.035-351</t>
  </si>
  <si>
    <t>Rua Coronel Ferreira Sobrinho, S/Nº - Petropólis - 69.079-300</t>
  </si>
  <si>
    <t>Av. Beira-Mar, S/Nº - Coroado - CEP 69.080-030</t>
  </si>
  <si>
    <t>Rua Doutor Thomas, S/Nº - Nossa Senhora da Graças - CEP 69.053-035</t>
  </si>
  <si>
    <t>Rua Villena, S/Nº - Flores - CEP 69.028-310</t>
  </si>
  <si>
    <t>Av. Ten. Roxana Bonessi, S/Nº - Colônia Terra Nova - CEP 69.015-618</t>
  </si>
  <si>
    <t>Rua Manoel Urbano, S/Nº - Educandos - CEP 69.070-120</t>
  </si>
  <si>
    <t>Rua Diva Leão, S/Nº - Cidade Nova - CEP 69.094-140</t>
  </si>
  <si>
    <t>Rua Tupiara, S/Nº - Cidade Nova, Nucleo 11 - CEP 69.096-220</t>
  </si>
  <si>
    <t>TV. Profa. Evangelina Browne, S/Nº - Cidade Nova - CEP 69.090-520</t>
  </si>
  <si>
    <t>Escritório de Representação em Brasília</t>
  </si>
  <si>
    <t>OESTE</t>
  </si>
  <si>
    <t>NORTE</t>
  </si>
  <si>
    <t>SUL</t>
  </si>
  <si>
    <t>CENTRO-SUL</t>
  </si>
  <si>
    <t>CENTRO-OESTE</t>
  </si>
  <si>
    <t>LESTE</t>
  </si>
  <si>
    <t>2º OFÍCIO</t>
  </si>
  <si>
    <t>ATIVO</t>
  </si>
  <si>
    <t>CEDIDO</t>
  </si>
  <si>
    <t>EM OBRAS</t>
  </si>
  <si>
    <t>DESATIVADO</t>
  </si>
  <si>
    <t>SEMSA</t>
  </si>
  <si>
    <t>23000</t>
  </si>
  <si>
    <t>Secretaria Municipal de Saúde</t>
  </si>
  <si>
    <t>Base Atendimento</t>
  </si>
  <si>
    <t>Sede do IMMU</t>
  </si>
  <si>
    <t>Centro de Cooperação da Cidade - CCC - José Pereira Filho</t>
  </si>
  <si>
    <t>Centro de Controle Operacional - CCO</t>
  </si>
  <si>
    <t>Base Norte</t>
  </si>
  <si>
    <t>Terminal de Integração de Ônibus - T1</t>
  </si>
  <si>
    <t>Terminal de Integração de Ônibus - T2</t>
  </si>
  <si>
    <t>Terminal de Integração de Ônibus - T3</t>
  </si>
  <si>
    <t>Terminal de Integração de Ônibus - T4</t>
  </si>
  <si>
    <t>Terminal de Integração de Ônibus - T5</t>
  </si>
  <si>
    <t>Terminal de Integração de Ônibus - T6</t>
  </si>
  <si>
    <t>Terminal de Integração de Ônibus - T7</t>
  </si>
  <si>
    <t>Estação de Transferência 2 Arena da Amazônia</t>
  </si>
  <si>
    <t>Estação de Transferência 3  Santos Dumont</t>
  </si>
  <si>
    <t>Estação de Transferência 4  Parque das Nações</t>
  </si>
  <si>
    <t>Estação de Transferência 1 São Jorge</t>
  </si>
  <si>
    <t>Terminal São Lázaro</t>
  </si>
  <si>
    <t>Terminal Japiinlandia</t>
  </si>
  <si>
    <t>Terminal Petropolis</t>
  </si>
  <si>
    <t>Teminal Nova República</t>
  </si>
  <si>
    <t>Terminal São Raimundo</t>
  </si>
  <si>
    <t>Terminal União da Vitória</t>
  </si>
  <si>
    <t>Terminal Vila Marinho</t>
  </si>
  <si>
    <t>Terminal Santo Antônio</t>
  </si>
  <si>
    <t>Terminal Ponta Negra</t>
  </si>
  <si>
    <t>Terminal Hileia</t>
  </si>
  <si>
    <t>Terminal Promorar</t>
  </si>
  <si>
    <t>Terminal Vila da Prata</t>
  </si>
  <si>
    <t>Terminal Dom Pedro</t>
  </si>
  <si>
    <t>Terminal Bairro da Paz</t>
  </si>
  <si>
    <t>Terminal Ajuricaba</t>
  </si>
  <si>
    <t>Terminal Augusto Montenegro</t>
  </si>
  <si>
    <t>Terminal Nova Esperança</t>
  </si>
  <si>
    <t>Terminal Jardim Versalles</t>
  </si>
  <si>
    <t>Terminal Ouro Verde</t>
  </si>
  <si>
    <t>Terminal Do Coroado</t>
  </si>
  <si>
    <t>Terminal Colonia  Antonio Aleixo</t>
  </si>
  <si>
    <t>Terminal João Paulo</t>
  </si>
  <si>
    <t>Terminal Armando Mendes</t>
  </si>
  <si>
    <t>Terminal Amazonino Mendes</t>
  </si>
  <si>
    <t>Terminal Manoa</t>
  </si>
  <si>
    <t>Terminal Aliança com Deus</t>
  </si>
  <si>
    <t>Terminal Viver Melhor</t>
  </si>
  <si>
    <t>Terminal Passarinho</t>
  </si>
  <si>
    <t>Terminal Colônia Santo Antônio</t>
  </si>
  <si>
    <t>Terminal Santa Etelvina</t>
  </si>
  <si>
    <t>Terminal Oswaldo Américo</t>
  </si>
  <si>
    <t>Terminal Cidadão XII</t>
  </si>
  <si>
    <t>Terminal Rio Maracanã</t>
  </si>
  <si>
    <t>Terminal Jardim Primavera</t>
  </si>
  <si>
    <t>Terminal Bairro da União</t>
  </si>
  <si>
    <t>Terminal Jardim Paulista</t>
  </si>
  <si>
    <t>Terminal Gloria</t>
  </si>
  <si>
    <t>Terminal Compensa</t>
  </si>
  <si>
    <t>Terminal Petrópolis</t>
  </si>
  <si>
    <t>Terminal Coroado</t>
  </si>
  <si>
    <t>Terminal Gilberto Mestrinho</t>
  </si>
  <si>
    <t>Terminal Nossa Senhora das Graças</t>
  </si>
  <si>
    <t>Terminal Flores</t>
  </si>
  <si>
    <t>Terminal Colônia Terra Nova</t>
  </si>
  <si>
    <t>Terminal Educandos</t>
  </si>
  <si>
    <t>Terminal Vila Buriti</t>
  </si>
  <si>
    <t>Terminal Cidade Nova</t>
  </si>
  <si>
    <t>Terminal Cidade Nova Núcleo 11</t>
  </si>
  <si>
    <t>Terminal Cidade Nova (Mundo Novo)</t>
  </si>
  <si>
    <t>Terminal São José Operário</t>
  </si>
  <si>
    <t>SIGLA UG</t>
  </si>
  <si>
    <t>Em ajuste</t>
  </si>
  <si>
    <t>TIPO DE EDIFICAÇÃO</t>
  </si>
  <si>
    <t>Base Centro-Sul</t>
  </si>
  <si>
    <t>Base Sul</t>
  </si>
  <si>
    <t>Rua Wilkens de Matos, Nº 90 - Aparecida - CEP 69.010-420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</si>
  <si>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</si>
  <si>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</si>
  <si>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</si>
  <si>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</si>
  <si>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</si>
  <si>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</si>
  <si>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</si>
  <si>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</si>
  <si>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</si>
  <si>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Av. Theomario Pinto da Costa, S/N - Dom Pedro I - CEP 69.040-045</t>
  </si>
  <si>
    <t xml:space="preserve">Av. Padre Agostinho Caballero Martin,S/Nº - Compensa - CEP 69.035-090 </t>
  </si>
  <si>
    <t>Av. Marginal Direita, S/Nº - Nova Cidade</t>
  </si>
  <si>
    <t>Av. Cosme Ferreira, 1 - São José Operário - CEP 69.085-015</t>
  </si>
  <si>
    <t>Rua Marinheiro Greenhalgh, S/Nº - Vila Buriti</t>
  </si>
  <si>
    <t>Av. Penetração II, S/Nº - São José Operário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</si>
  <si>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</si>
  <si>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</si>
  <si>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</si>
  <si>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</si>
  <si>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</si>
  <si>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</si>
  <si>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</si>
  <si>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</si>
  <si>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</si>
  <si>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</si>
  <si>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</si>
  <si>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</si>
  <si>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</si>
  <si>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</si>
  <si>
    <t>6º OFÍCIO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</si>
</sst>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1"/>
  <sheetViews>
    <sheetView tabSelected="1" zoomScaleNormal="100" workbookViewId="0">
      <pane ySplit="3" topLeftCell="A46" activePane="bottomLeft" state="frozen"/>
      <selection pane="bottomLeft" activeCell="C16" sqref="C16"/>
    </sheetView>
  </sheetViews>
  <sheetFormatPr defaultRowHeight="12.75" x14ac:dyDescent="0.2"/>
  <cols>
    <col min="1" max="1" width="11.85546875" style="4" bestFit="1" customWidth="1"/>
    <col min="2" max="2" width="35.28515625" style="4" bestFit="1" customWidth="1"/>
    <col min="3" max="3" width="47.5703125" style="4" bestFit="1" customWidth="1"/>
    <col min="4" max="4" width="12.42578125" style="4" bestFit="1" customWidth="1"/>
    <col min="5" max="5" width="10.7109375" style="4" bestFit="1" customWidth="1"/>
    <col min="6" max="6" width="9.7109375" style="4" bestFit="1" customWidth="1"/>
    <col min="7" max="7" width="11" style="4" bestFit="1" customWidth="1"/>
    <col min="8" max="8" width="10.85546875" style="4" bestFit="1" customWidth="1"/>
    <col min="9" max="9" width="11.85546875" style="4" bestFit="1" customWidth="1"/>
    <col min="10" max="10" width="13.140625" style="4" bestFit="1" customWidth="1"/>
    <col min="11" max="11" width="15" style="4" bestFit="1" customWidth="1"/>
    <col min="12" max="12" width="10.28515625" style="4" bestFit="1" customWidth="1"/>
    <col min="13" max="13" width="15.42578125" style="4" bestFit="1" customWidth="1"/>
    <col min="14" max="14" width="11.85546875" style="4" bestFit="1" customWidth="1"/>
    <col min="15" max="15" width="15.7109375" style="4" customWidth="1"/>
    <col min="16" max="16" width="10.28515625" style="4" bestFit="1" customWidth="1"/>
    <col min="17" max="17" width="81.42578125" style="4" bestFit="1" customWidth="1"/>
    <col min="18" max="18" width="14.42578125" style="4" bestFit="1" customWidth="1"/>
    <col min="19" max="19" width="15.140625" style="4" bestFit="1" customWidth="1"/>
    <col min="20" max="20" width="21.7109375" style="4" bestFit="1" customWidth="1"/>
    <col min="21" max="22" width="15.7109375" style="4" customWidth="1"/>
    <col min="23" max="23" width="15.42578125" style="4" bestFit="1" customWidth="1"/>
    <col min="24" max="24" width="15.7109375" style="4" customWidth="1"/>
    <col min="25" max="25" width="16.140625" style="4" bestFit="1" customWidth="1"/>
    <col min="26" max="16384" width="9.140625" style="4"/>
  </cols>
  <sheetData>
    <row r="1" spans="1:26" s="13" customFormat="1" ht="15.75" customHeight="1" thickBot="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s="22" customFormat="1" ht="15.75" customHeight="1" x14ac:dyDescent="0.2">
      <c r="A2" s="19" t="s">
        <v>297</v>
      </c>
      <c r="B2" s="19" t="s">
        <v>297</v>
      </c>
      <c r="C2" s="21"/>
      <c r="D2" s="21"/>
      <c r="E2" s="21"/>
      <c r="F2" s="21"/>
      <c r="G2" s="21"/>
      <c r="H2" s="21"/>
      <c r="I2" s="21"/>
      <c r="J2" s="21"/>
      <c r="K2" s="18"/>
      <c r="L2" s="21" t="s">
        <v>297</v>
      </c>
      <c r="M2" s="20" t="s">
        <v>284</v>
      </c>
      <c r="N2" s="19" t="s">
        <v>285</v>
      </c>
      <c r="O2" s="19" t="s">
        <v>286</v>
      </c>
      <c r="P2" s="19" t="s">
        <v>287</v>
      </c>
      <c r="Q2" s="19" t="s">
        <v>288</v>
      </c>
      <c r="R2" s="19" t="s">
        <v>289</v>
      </c>
      <c r="S2" s="19" t="s">
        <v>290</v>
      </c>
      <c r="T2" s="19" t="s">
        <v>291</v>
      </c>
      <c r="U2" s="19" t="s">
        <v>292</v>
      </c>
      <c r="V2" s="19" t="s">
        <v>293</v>
      </c>
      <c r="W2" s="19" t="s">
        <v>294</v>
      </c>
      <c r="X2" s="19" t="s">
        <v>295</v>
      </c>
      <c r="Y2" s="19" t="s">
        <v>296</v>
      </c>
    </row>
    <row r="3" spans="1:26" s="2" customFormat="1" ht="25.5" customHeight="1" thickBot="1" x14ac:dyDescent="0.3">
      <c r="A3" s="14" t="s">
        <v>263</v>
      </c>
      <c r="B3" s="15" t="s">
        <v>38</v>
      </c>
      <c r="C3" s="15" t="s">
        <v>269</v>
      </c>
      <c r="D3" s="15" t="s">
        <v>270</v>
      </c>
      <c r="E3" s="15" t="s">
        <v>271</v>
      </c>
      <c r="F3" s="15" t="s">
        <v>272</v>
      </c>
      <c r="G3" s="15" t="s">
        <v>273</v>
      </c>
      <c r="H3" s="15" t="s">
        <v>274</v>
      </c>
      <c r="I3" s="15" t="s">
        <v>275</v>
      </c>
      <c r="J3" s="15" t="s">
        <v>276</v>
      </c>
      <c r="K3" s="15" t="s">
        <v>277</v>
      </c>
      <c r="L3" s="15" t="s">
        <v>3</v>
      </c>
      <c r="M3" s="15" t="s">
        <v>15</v>
      </c>
      <c r="N3" s="15" t="s">
        <v>6</v>
      </c>
      <c r="O3" s="15" t="s">
        <v>7</v>
      </c>
      <c r="P3" s="15" t="s">
        <v>265</v>
      </c>
      <c r="Q3" s="15" t="s">
        <v>0</v>
      </c>
      <c r="R3" s="15" t="s">
        <v>8</v>
      </c>
      <c r="S3" s="15" t="s">
        <v>9</v>
      </c>
      <c r="T3" s="15" t="s">
        <v>75</v>
      </c>
      <c r="U3" s="15" t="s">
        <v>10</v>
      </c>
      <c r="V3" s="15" t="s">
        <v>11</v>
      </c>
      <c r="W3" s="15" t="s">
        <v>5</v>
      </c>
      <c r="X3" s="15" t="s">
        <v>13</v>
      </c>
      <c r="Y3" s="16" t="s">
        <v>12</v>
      </c>
    </row>
    <row r="4" spans="1:26" x14ac:dyDescent="0.2">
      <c r="A4" s="3" t="s">
        <v>109</v>
      </c>
      <c r="B4" s="3" t="str">
        <f>VLOOKUP(A4,Listas!A$3:C$30,3,0)</f>
        <v>Instituto Municipal de Mobilidade Urbana</v>
      </c>
      <c r="C4" s="11" t="s">
        <v>197</v>
      </c>
      <c r="D4" s="3" t="s">
        <v>185</v>
      </c>
      <c r="E4" s="3" t="s">
        <v>190</v>
      </c>
      <c r="F4" s="3"/>
      <c r="G4" s="3"/>
      <c r="H4" s="5"/>
      <c r="I4" s="5">
        <f t="shared" ref="I4:I63" si="0">H4+L4</f>
        <v>0</v>
      </c>
      <c r="J4" s="3"/>
      <c r="K4" s="3" t="s">
        <v>264</v>
      </c>
      <c r="L4" s="5">
        <v>0</v>
      </c>
      <c r="M4" s="9">
        <v>5</v>
      </c>
      <c r="N4" s="10" t="s">
        <v>264</v>
      </c>
      <c r="O4" s="3" t="s">
        <v>264</v>
      </c>
      <c r="P4" s="3" t="s">
        <v>264</v>
      </c>
      <c r="Q4" s="11" t="s">
        <v>121</v>
      </c>
      <c r="R4" s="3" t="s">
        <v>264</v>
      </c>
      <c r="S4" s="12" t="s">
        <v>264</v>
      </c>
      <c r="T4" s="9" t="str">
        <f>VLOOKUP(A4,Listas!A$3:C$30,2,0)</f>
        <v>58201</v>
      </c>
      <c r="U4" s="3" t="s">
        <v>264</v>
      </c>
      <c r="V4" s="3" t="s">
        <v>264</v>
      </c>
      <c r="W4" s="5" t="s">
        <v>264</v>
      </c>
      <c r="X4" s="3" t="s">
        <v>264</v>
      </c>
      <c r="Y4" s="3" t="s">
        <v>264</v>
      </c>
    </row>
    <row r="5" spans="1:26" x14ac:dyDescent="0.2">
      <c r="A5" s="3" t="s">
        <v>109</v>
      </c>
      <c r="B5" s="3" t="str">
        <f>VLOOKUP(A5,Listas!A$3:C$30,3,0)</f>
        <v>Instituto Municipal de Mobilidade Urbana</v>
      </c>
      <c r="C5" s="11" t="s">
        <v>198</v>
      </c>
      <c r="D5" s="3" t="s">
        <v>185</v>
      </c>
      <c r="E5" s="3" t="s">
        <v>190</v>
      </c>
      <c r="F5" s="3"/>
      <c r="G5" s="3"/>
      <c r="H5" s="5"/>
      <c r="I5" s="5">
        <f t="shared" si="0"/>
        <v>0</v>
      </c>
      <c r="J5" s="3"/>
      <c r="K5" s="3" t="s">
        <v>264</v>
      </c>
      <c r="L5" s="5">
        <v>0</v>
      </c>
      <c r="M5" s="9">
        <v>6</v>
      </c>
      <c r="N5" s="10" t="s">
        <v>264</v>
      </c>
      <c r="O5" s="3" t="s">
        <v>264</v>
      </c>
      <c r="P5" s="3" t="s">
        <v>264</v>
      </c>
      <c r="Q5" s="11" t="s">
        <v>122</v>
      </c>
      <c r="R5" s="3" t="s">
        <v>264</v>
      </c>
      <c r="S5" s="12" t="s">
        <v>264</v>
      </c>
      <c r="T5" s="9" t="str">
        <f>VLOOKUP(A5,Listas!A$3:C$30,2,0)</f>
        <v>58201</v>
      </c>
      <c r="U5" s="3" t="s">
        <v>264</v>
      </c>
      <c r="V5" s="3" t="s">
        <v>264</v>
      </c>
      <c r="W5" s="5" t="s">
        <v>264</v>
      </c>
      <c r="X5" s="3" t="s">
        <v>264</v>
      </c>
      <c r="Y5" s="3" t="s">
        <v>264</v>
      </c>
    </row>
    <row r="6" spans="1:26" x14ac:dyDescent="0.2">
      <c r="A6" s="3" t="s">
        <v>109</v>
      </c>
      <c r="B6" s="3" t="str">
        <f>VLOOKUP(A6,Listas!A$3:C$30,3,0)</f>
        <v>Instituto Municipal de Mobilidade Urbana</v>
      </c>
      <c r="C6" s="11" t="s">
        <v>199</v>
      </c>
      <c r="D6" s="3" t="s">
        <v>186</v>
      </c>
      <c r="E6" s="3" t="s">
        <v>191</v>
      </c>
      <c r="F6" s="3"/>
      <c r="G6" s="3"/>
      <c r="H6" s="5"/>
      <c r="I6" s="5">
        <f t="shared" si="0"/>
        <v>0</v>
      </c>
      <c r="J6" s="3"/>
      <c r="K6" s="3" t="s">
        <v>264</v>
      </c>
      <c r="L6" s="5">
        <v>0</v>
      </c>
      <c r="M6" s="9">
        <v>7</v>
      </c>
      <c r="N6" s="10" t="s">
        <v>264</v>
      </c>
      <c r="O6" s="3" t="s">
        <v>264</v>
      </c>
      <c r="P6" s="3" t="s">
        <v>264</v>
      </c>
      <c r="Q6" s="11" t="s">
        <v>123</v>
      </c>
      <c r="R6" s="3" t="s">
        <v>264</v>
      </c>
      <c r="S6" s="12" t="s">
        <v>264</v>
      </c>
      <c r="T6" s="9" t="str">
        <f>VLOOKUP(A6,Listas!A$3:C$30,2,0)</f>
        <v>58201</v>
      </c>
      <c r="U6" s="3" t="s">
        <v>264</v>
      </c>
      <c r="V6" s="3" t="s">
        <v>264</v>
      </c>
      <c r="W6" s="5" t="s">
        <v>264</v>
      </c>
      <c r="X6" s="3" t="s">
        <v>264</v>
      </c>
      <c r="Y6" s="3" t="s">
        <v>264</v>
      </c>
    </row>
    <row r="7" spans="1:26" x14ac:dyDescent="0.2">
      <c r="A7" s="3" t="s">
        <v>109</v>
      </c>
      <c r="B7" s="3" t="str">
        <f>VLOOKUP(A7,Listas!A$3:C$30,3,0)</f>
        <v>Instituto Municipal de Mobilidade Urbana</v>
      </c>
      <c r="C7" s="11" t="s">
        <v>200</v>
      </c>
      <c r="D7" s="3" t="s">
        <v>187</v>
      </c>
      <c r="E7" s="3" t="s">
        <v>190</v>
      </c>
      <c r="F7" s="3" t="s">
        <v>189</v>
      </c>
      <c r="G7" s="3">
        <v>15232</v>
      </c>
      <c r="H7" s="5"/>
      <c r="I7" s="5">
        <f t="shared" si="0"/>
        <v>0</v>
      </c>
      <c r="J7" s="3"/>
      <c r="K7" s="3" t="s">
        <v>264</v>
      </c>
      <c r="L7" s="5">
        <v>0</v>
      </c>
      <c r="M7" s="9">
        <v>8</v>
      </c>
      <c r="N7" s="10" t="s">
        <v>264</v>
      </c>
      <c r="O7" s="3" t="s">
        <v>264</v>
      </c>
      <c r="P7" s="3" t="s">
        <v>264</v>
      </c>
      <c r="Q7" s="11" t="s">
        <v>278</v>
      </c>
      <c r="R7" s="3" t="s">
        <v>264</v>
      </c>
      <c r="S7" s="12" t="s">
        <v>264</v>
      </c>
      <c r="T7" s="9" t="str">
        <f>VLOOKUP(A7,Listas!A$3:C$30,2,0)</f>
        <v>58201</v>
      </c>
      <c r="U7" s="3" t="s">
        <v>264</v>
      </c>
      <c r="V7" s="3" t="s">
        <v>264</v>
      </c>
      <c r="W7" s="5" t="s">
        <v>264</v>
      </c>
      <c r="X7" s="3" t="s">
        <v>264</v>
      </c>
      <c r="Y7" s="3" t="s">
        <v>264</v>
      </c>
    </row>
    <row r="8" spans="1:26" x14ac:dyDescent="0.2">
      <c r="A8" s="3" t="s">
        <v>109</v>
      </c>
      <c r="B8" s="3" t="str">
        <f>VLOOKUP(A8,Listas!A$3:C$30,3,0)</f>
        <v>Instituto Municipal de Mobilidade Urbana</v>
      </c>
      <c r="C8" s="11" t="s">
        <v>267</v>
      </c>
      <c r="D8" s="3" t="s">
        <v>185</v>
      </c>
      <c r="E8" s="3" t="s">
        <v>190</v>
      </c>
      <c r="F8" s="3"/>
      <c r="G8" s="3"/>
      <c r="H8" s="5"/>
      <c r="I8" s="5">
        <f t="shared" si="0"/>
        <v>0</v>
      </c>
      <c r="J8" s="3"/>
      <c r="K8" s="3" t="s">
        <v>264</v>
      </c>
      <c r="L8" s="5">
        <v>0</v>
      </c>
      <c r="M8" s="9">
        <v>9</v>
      </c>
      <c r="N8" s="10" t="s">
        <v>264</v>
      </c>
      <c r="O8" s="3" t="s">
        <v>264</v>
      </c>
      <c r="P8" s="3" t="s">
        <v>264</v>
      </c>
      <c r="Q8" s="11" t="s">
        <v>268</v>
      </c>
      <c r="R8" s="3" t="s">
        <v>264</v>
      </c>
      <c r="S8" s="12" t="s">
        <v>264</v>
      </c>
      <c r="T8" s="9" t="str">
        <f>VLOOKUP(A8,Listas!A$3:C$30,2,0)</f>
        <v>58201</v>
      </c>
      <c r="U8" s="3" t="s">
        <v>264</v>
      </c>
      <c r="V8" s="3" t="s">
        <v>264</v>
      </c>
      <c r="W8" s="5" t="s">
        <v>264</v>
      </c>
      <c r="X8" s="3" t="s">
        <v>264</v>
      </c>
      <c r="Y8" s="3" t="s">
        <v>264</v>
      </c>
    </row>
    <row r="9" spans="1:26" x14ac:dyDescent="0.2">
      <c r="A9" s="3" t="s">
        <v>109</v>
      </c>
      <c r="B9" s="3" t="str">
        <f>VLOOKUP(A9,Listas!A$3:C$30,3,0)</f>
        <v>Instituto Municipal de Mobilidade Urbana</v>
      </c>
      <c r="C9" s="11" t="s">
        <v>266</v>
      </c>
      <c r="D9" s="3" t="s">
        <v>186</v>
      </c>
      <c r="E9" s="3" t="s">
        <v>190</v>
      </c>
      <c r="F9" s="3"/>
      <c r="G9" s="3"/>
      <c r="H9" s="5"/>
      <c r="I9" s="5">
        <f t="shared" si="0"/>
        <v>0</v>
      </c>
      <c r="J9" s="3"/>
      <c r="K9" s="3" t="s">
        <v>264</v>
      </c>
      <c r="L9" s="5">
        <v>0</v>
      </c>
      <c r="M9" s="9">
        <v>10</v>
      </c>
      <c r="N9" s="10" t="s">
        <v>264</v>
      </c>
      <c r="O9" s="3" t="s">
        <v>264</v>
      </c>
      <c r="P9" s="3" t="s">
        <v>264</v>
      </c>
      <c r="Q9" s="11" t="s">
        <v>124</v>
      </c>
      <c r="R9" s="3" t="s">
        <v>264</v>
      </c>
      <c r="S9" s="12" t="s">
        <v>264</v>
      </c>
      <c r="T9" s="9" t="str">
        <f>VLOOKUP(A9,Listas!A$3:C$30,2,0)</f>
        <v>58201</v>
      </c>
      <c r="U9" s="3" t="s">
        <v>264</v>
      </c>
      <c r="V9" s="3" t="s">
        <v>264</v>
      </c>
      <c r="W9" s="5" t="s">
        <v>264</v>
      </c>
      <c r="X9" s="3" t="s">
        <v>264</v>
      </c>
      <c r="Y9" s="3" t="s">
        <v>264</v>
      </c>
    </row>
    <row r="10" spans="1:26" x14ac:dyDescent="0.2">
      <c r="A10" s="3" t="s">
        <v>109</v>
      </c>
      <c r="B10" s="3" t="str">
        <f>VLOOKUP(A10,Listas!A$3:C$30,3,0)</f>
        <v>Instituto Municipal de Mobilidade Urbana</v>
      </c>
      <c r="C10" s="11" t="s">
        <v>201</v>
      </c>
      <c r="D10" s="3" t="s">
        <v>184</v>
      </c>
      <c r="E10" s="3" t="s">
        <v>190</v>
      </c>
      <c r="F10" s="3"/>
      <c r="G10" s="3"/>
      <c r="H10" s="5"/>
      <c r="I10" s="5">
        <f t="shared" si="0"/>
        <v>0</v>
      </c>
      <c r="J10" s="3"/>
      <c r="K10" s="3" t="s">
        <v>264</v>
      </c>
      <c r="L10" s="5">
        <v>0</v>
      </c>
      <c r="M10" s="9">
        <v>11</v>
      </c>
      <c r="N10" s="10" t="s">
        <v>264</v>
      </c>
      <c r="O10" s="3" t="s">
        <v>264</v>
      </c>
      <c r="P10" s="3" t="s">
        <v>264</v>
      </c>
      <c r="Q10" s="11" t="s">
        <v>125</v>
      </c>
      <c r="R10" s="3" t="s">
        <v>264</v>
      </c>
      <c r="S10" s="12" t="s">
        <v>264</v>
      </c>
      <c r="T10" s="9" t="str">
        <f>VLOOKUP(A10,Listas!A$3:C$30,2,0)</f>
        <v>58201</v>
      </c>
      <c r="U10" s="3" t="s">
        <v>264</v>
      </c>
      <c r="V10" s="3" t="s">
        <v>264</v>
      </c>
      <c r="W10" s="5" t="s">
        <v>264</v>
      </c>
      <c r="X10" s="3" t="s">
        <v>264</v>
      </c>
      <c r="Y10" s="3" t="s">
        <v>264</v>
      </c>
    </row>
    <row r="11" spans="1:26" x14ac:dyDescent="0.2">
      <c r="A11" s="3" t="s">
        <v>109</v>
      </c>
      <c r="B11" s="3" t="str">
        <f>VLOOKUP(A11,Listas!A$3:C$30,3,0)</f>
        <v>Instituto Municipal de Mobilidade Urbana</v>
      </c>
      <c r="C11" s="11" t="s">
        <v>202</v>
      </c>
      <c r="D11" s="3" t="s">
        <v>186</v>
      </c>
      <c r="E11" s="3" t="s">
        <v>190</v>
      </c>
      <c r="F11" s="3"/>
      <c r="G11" s="3"/>
      <c r="H11" s="5"/>
      <c r="I11" s="5">
        <f t="shared" si="0"/>
        <v>0</v>
      </c>
      <c r="J11" s="3"/>
      <c r="K11" s="3" t="s">
        <v>264</v>
      </c>
      <c r="L11" s="5">
        <v>0</v>
      </c>
      <c r="M11" s="9">
        <v>12</v>
      </c>
      <c r="N11" s="10" t="s">
        <v>264</v>
      </c>
      <c r="O11" s="3" t="s">
        <v>264</v>
      </c>
      <c r="P11" s="3" t="s">
        <v>264</v>
      </c>
      <c r="Q11" s="11" t="s">
        <v>126</v>
      </c>
      <c r="R11" s="3" t="s">
        <v>264</v>
      </c>
      <c r="S11" s="12" t="s">
        <v>264</v>
      </c>
      <c r="T11" s="9" t="str">
        <f>VLOOKUP(A11,Listas!A$3:C$30,2,0)</f>
        <v>58201</v>
      </c>
      <c r="U11" s="3" t="s">
        <v>264</v>
      </c>
      <c r="V11" s="3" t="s">
        <v>264</v>
      </c>
      <c r="W11" s="5" t="s">
        <v>264</v>
      </c>
      <c r="X11" s="3" t="s">
        <v>264</v>
      </c>
      <c r="Y11" s="3" t="s">
        <v>264</v>
      </c>
    </row>
    <row r="12" spans="1:26" x14ac:dyDescent="0.2">
      <c r="A12" s="3" t="s">
        <v>109</v>
      </c>
      <c r="B12" s="3" t="str">
        <f>VLOOKUP(A12,Listas!A$3:C$30,3,0)</f>
        <v>Instituto Municipal de Mobilidade Urbana</v>
      </c>
      <c r="C12" s="11" t="s">
        <v>203</v>
      </c>
      <c r="D12" s="3" t="s">
        <v>185</v>
      </c>
      <c r="E12" s="3" t="s">
        <v>190</v>
      </c>
      <c r="F12" s="3"/>
      <c r="G12" s="3"/>
      <c r="H12" s="5"/>
      <c r="I12" s="5">
        <f t="shared" si="0"/>
        <v>0</v>
      </c>
      <c r="J12" s="3"/>
      <c r="K12" s="3" t="s">
        <v>264</v>
      </c>
      <c r="L12" s="5">
        <v>0</v>
      </c>
      <c r="M12" s="9">
        <v>13</v>
      </c>
      <c r="N12" s="10" t="s">
        <v>264</v>
      </c>
      <c r="O12" s="3" t="s">
        <v>264</v>
      </c>
      <c r="P12" s="3" t="s">
        <v>264</v>
      </c>
      <c r="Q12" s="11" t="s">
        <v>127</v>
      </c>
      <c r="R12" s="3" t="s">
        <v>264</v>
      </c>
      <c r="S12" s="12" t="s">
        <v>264</v>
      </c>
      <c r="T12" s="9" t="str">
        <f>VLOOKUP(A12,Listas!A$3:C$30,2,0)</f>
        <v>58201</v>
      </c>
      <c r="U12" s="3" t="s">
        <v>264</v>
      </c>
      <c r="V12" s="3" t="s">
        <v>264</v>
      </c>
      <c r="W12" s="5" t="s">
        <v>264</v>
      </c>
      <c r="X12" s="3" t="s">
        <v>264</v>
      </c>
      <c r="Y12" s="3" t="s">
        <v>264</v>
      </c>
    </row>
    <row r="13" spans="1:26" x14ac:dyDescent="0.2">
      <c r="A13" s="3" t="s">
        <v>109</v>
      </c>
      <c r="B13" s="3" t="str">
        <f>VLOOKUP(A13,Listas!A$3:C$30,3,0)</f>
        <v>Instituto Municipal de Mobilidade Urbana</v>
      </c>
      <c r="C13" s="11" t="s">
        <v>204</v>
      </c>
      <c r="D13" s="3" t="s">
        <v>184</v>
      </c>
      <c r="E13" s="3" t="s">
        <v>190</v>
      </c>
      <c r="F13" s="3"/>
      <c r="G13" s="3"/>
      <c r="H13" s="5"/>
      <c r="I13" s="5">
        <f t="shared" si="0"/>
        <v>0</v>
      </c>
      <c r="J13" s="3"/>
      <c r="K13" s="3" t="s">
        <v>264</v>
      </c>
      <c r="L13" s="5">
        <v>0</v>
      </c>
      <c r="M13" s="9">
        <v>14</v>
      </c>
      <c r="N13" s="10" t="s">
        <v>264</v>
      </c>
      <c r="O13" s="3" t="s">
        <v>264</v>
      </c>
      <c r="P13" s="3" t="s">
        <v>264</v>
      </c>
      <c r="Q13" s="11" t="s">
        <v>128</v>
      </c>
      <c r="R13" s="3" t="s">
        <v>264</v>
      </c>
      <c r="S13" s="12" t="s">
        <v>264</v>
      </c>
      <c r="T13" s="9" t="str">
        <f>VLOOKUP(A13,Listas!A$3:C$30,2,0)</f>
        <v>58201</v>
      </c>
      <c r="U13" s="3" t="s">
        <v>264</v>
      </c>
      <c r="V13" s="3" t="s">
        <v>264</v>
      </c>
      <c r="W13" s="5" t="s">
        <v>264</v>
      </c>
      <c r="X13" s="3" t="s">
        <v>264</v>
      </c>
      <c r="Y13" s="3" t="s">
        <v>264</v>
      </c>
    </row>
    <row r="14" spans="1:26" x14ac:dyDescent="0.2">
      <c r="A14" s="3" t="s">
        <v>109</v>
      </c>
      <c r="B14" s="3" t="str">
        <f>VLOOKUP(A14,Listas!A$3:C$30,3,0)</f>
        <v>Instituto Municipal de Mobilidade Urbana</v>
      </c>
      <c r="C14" s="11" t="s">
        <v>205</v>
      </c>
      <c r="D14" s="3" t="s">
        <v>188</v>
      </c>
      <c r="E14" s="3" t="s">
        <v>190</v>
      </c>
      <c r="F14" s="3"/>
      <c r="G14" s="3"/>
      <c r="H14" s="5"/>
      <c r="I14" s="5">
        <f t="shared" si="0"/>
        <v>0</v>
      </c>
      <c r="J14" s="3"/>
      <c r="K14" s="3" t="s">
        <v>264</v>
      </c>
      <c r="L14" s="5">
        <v>0</v>
      </c>
      <c r="M14" s="9">
        <v>15</v>
      </c>
      <c r="N14" s="10" t="s">
        <v>264</v>
      </c>
      <c r="O14" s="3" t="s">
        <v>264</v>
      </c>
      <c r="P14" s="3" t="s">
        <v>264</v>
      </c>
      <c r="Q14" s="11" t="s">
        <v>129</v>
      </c>
      <c r="R14" s="3" t="s">
        <v>264</v>
      </c>
      <c r="S14" s="12" t="s">
        <v>264</v>
      </c>
      <c r="T14" s="9" t="str">
        <f>VLOOKUP(A14,Listas!A$3:C$30,2,0)</f>
        <v>58201</v>
      </c>
      <c r="U14" s="3" t="s">
        <v>264</v>
      </c>
      <c r="V14" s="3" t="s">
        <v>264</v>
      </c>
      <c r="W14" s="5" t="s">
        <v>264</v>
      </c>
      <c r="X14" s="3" t="s">
        <v>264</v>
      </c>
      <c r="Y14" s="3" t="s">
        <v>264</v>
      </c>
    </row>
    <row r="15" spans="1:26" x14ac:dyDescent="0.2">
      <c r="A15" s="3" t="s">
        <v>109</v>
      </c>
      <c r="B15" s="3" t="str">
        <f>VLOOKUP(A15,Listas!A$3:C$30,3,0)</f>
        <v>Instituto Municipal de Mobilidade Urbana</v>
      </c>
      <c r="C15" s="11" t="s">
        <v>206</v>
      </c>
      <c r="D15" s="3" t="s">
        <v>188</v>
      </c>
      <c r="E15" s="3" t="s">
        <v>190</v>
      </c>
      <c r="F15" s="3"/>
      <c r="G15" s="3"/>
      <c r="H15" s="5"/>
      <c r="I15" s="5">
        <f t="shared" si="0"/>
        <v>0</v>
      </c>
      <c r="J15" s="3"/>
      <c r="K15" s="3" t="s">
        <v>264</v>
      </c>
      <c r="L15" s="5">
        <v>0</v>
      </c>
      <c r="M15" s="9">
        <v>16</v>
      </c>
      <c r="N15" s="10" t="s">
        <v>264</v>
      </c>
      <c r="O15" s="3" t="s">
        <v>264</v>
      </c>
      <c r="P15" s="3" t="s">
        <v>264</v>
      </c>
      <c r="Q15" s="11" t="s">
        <v>130</v>
      </c>
      <c r="R15" s="3" t="s">
        <v>264</v>
      </c>
      <c r="S15" s="12" t="s">
        <v>264</v>
      </c>
      <c r="T15" s="9" t="str">
        <f>VLOOKUP(A15,Listas!A$3:C$30,2,0)</f>
        <v>58201</v>
      </c>
      <c r="U15" s="3" t="s">
        <v>264</v>
      </c>
      <c r="V15" s="3" t="s">
        <v>264</v>
      </c>
      <c r="W15" s="5" t="s">
        <v>264</v>
      </c>
      <c r="X15" s="3" t="s">
        <v>264</v>
      </c>
      <c r="Y15" s="3" t="s">
        <v>264</v>
      </c>
    </row>
    <row r="16" spans="1:26" x14ac:dyDescent="0.2">
      <c r="A16" s="3" t="s">
        <v>109</v>
      </c>
      <c r="B16" s="3" t="str">
        <f>VLOOKUP(A16,Listas!A$3:C$30,3,0)</f>
        <v>Instituto Municipal de Mobilidade Urbana</v>
      </c>
      <c r="C16" s="11" t="s">
        <v>207</v>
      </c>
      <c r="D16" s="3" t="s">
        <v>184</v>
      </c>
      <c r="E16" s="3" t="s">
        <v>192</v>
      </c>
      <c r="F16" s="3" t="s">
        <v>298</v>
      </c>
      <c r="G16" s="3">
        <v>16436</v>
      </c>
      <c r="H16" s="5"/>
      <c r="I16" s="5">
        <f t="shared" si="0"/>
        <v>0</v>
      </c>
      <c r="J16" s="3"/>
      <c r="K16" s="3" t="s">
        <v>264</v>
      </c>
      <c r="L16" s="5">
        <v>0</v>
      </c>
      <c r="M16" s="9">
        <v>17</v>
      </c>
      <c r="N16" s="10" t="s">
        <v>264</v>
      </c>
      <c r="O16" s="3" t="s">
        <v>264</v>
      </c>
      <c r="P16" s="3" t="s">
        <v>264</v>
      </c>
      <c r="Q16" s="11" t="s">
        <v>131</v>
      </c>
      <c r="R16" s="3" t="s">
        <v>264</v>
      </c>
      <c r="S16" s="12" t="s">
        <v>264</v>
      </c>
      <c r="T16" s="9" t="str">
        <f>VLOOKUP(A16,Listas!A$3:C$30,2,0)</f>
        <v>58201</v>
      </c>
      <c r="U16" s="3" t="s">
        <v>264</v>
      </c>
      <c r="V16" s="3" t="s">
        <v>264</v>
      </c>
      <c r="W16" s="5" t="s">
        <v>264</v>
      </c>
      <c r="X16" s="3" t="s">
        <v>264</v>
      </c>
      <c r="Y16" s="3" t="s">
        <v>264</v>
      </c>
    </row>
    <row r="17" spans="1:25" x14ac:dyDescent="0.2">
      <c r="A17" s="3" t="s">
        <v>109</v>
      </c>
      <c r="B17" s="3" t="str">
        <f>VLOOKUP(A17,Listas!A$3:C$30,3,0)</f>
        <v>Instituto Municipal de Mobilidade Urbana</v>
      </c>
      <c r="C17" s="11" t="s">
        <v>208</v>
      </c>
      <c r="D17" s="3" t="s">
        <v>183</v>
      </c>
      <c r="E17" s="3" t="s">
        <v>190</v>
      </c>
      <c r="F17" s="3"/>
      <c r="G17" s="3"/>
      <c r="H17" s="5"/>
      <c r="I17" s="5">
        <f t="shared" si="0"/>
        <v>0</v>
      </c>
      <c r="J17" s="3"/>
      <c r="K17" s="3" t="s">
        <v>264</v>
      </c>
      <c r="L17" s="5">
        <v>0</v>
      </c>
      <c r="M17" s="9">
        <v>18</v>
      </c>
      <c r="N17" s="10" t="s">
        <v>264</v>
      </c>
      <c r="O17" s="3" t="s">
        <v>264</v>
      </c>
      <c r="P17" s="3" t="s">
        <v>264</v>
      </c>
      <c r="Q17" s="11" t="s">
        <v>132</v>
      </c>
      <c r="R17" s="3" t="s">
        <v>264</v>
      </c>
      <c r="S17" s="12" t="s">
        <v>264</v>
      </c>
      <c r="T17" s="9" t="str">
        <f>VLOOKUP(A17,Listas!A$3:C$30,2,0)</f>
        <v>58201</v>
      </c>
      <c r="U17" s="3" t="s">
        <v>264</v>
      </c>
      <c r="V17" s="3" t="s">
        <v>264</v>
      </c>
      <c r="W17" s="5" t="s">
        <v>264</v>
      </c>
      <c r="X17" s="3" t="s">
        <v>264</v>
      </c>
      <c r="Y17" s="3" t="s">
        <v>264</v>
      </c>
    </row>
    <row r="18" spans="1:25" x14ac:dyDescent="0.2">
      <c r="A18" s="3" t="s">
        <v>109</v>
      </c>
      <c r="B18" s="3" t="str">
        <f>VLOOKUP(A18,Listas!A$3:C$30,3,0)</f>
        <v>Instituto Municipal de Mobilidade Urbana</v>
      </c>
      <c r="C18" s="11" t="s">
        <v>209</v>
      </c>
      <c r="D18" s="3" t="s">
        <v>186</v>
      </c>
      <c r="E18" s="3" t="s">
        <v>190</v>
      </c>
      <c r="F18" s="3"/>
      <c r="G18" s="3"/>
      <c r="H18" s="5"/>
      <c r="I18" s="5">
        <f t="shared" si="0"/>
        <v>0</v>
      </c>
      <c r="J18" s="3"/>
      <c r="K18" s="3" t="s">
        <v>264</v>
      </c>
      <c r="L18" s="5">
        <v>0</v>
      </c>
      <c r="M18" s="9">
        <v>19</v>
      </c>
      <c r="N18" s="10" t="s">
        <v>264</v>
      </c>
      <c r="O18" s="3" t="s">
        <v>264</v>
      </c>
      <c r="P18" s="3" t="s">
        <v>264</v>
      </c>
      <c r="Q18" s="11" t="s">
        <v>133</v>
      </c>
      <c r="R18" s="3" t="s">
        <v>264</v>
      </c>
      <c r="S18" s="12" t="s">
        <v>264</v>
      </c>
      <c r="T18" s="9" t="str">
        <f>VLOOKUP(A18,Listas!A$3:C$30,2,0)</f>
        <v>58201</v>
      </c>
      <c r="U18" s="3" t="s">
        <v>264</v>
      </c>
      <c r="V18" s="3" t="s">
        <v>264</v>
      </c>
      <c r="W18" s="5" t="s">
        <v>264</v>
      </c>
      <c r="X18" s="3" t="s">
        <v>264</v>
      </c>
      <c r="Y18" s="3" t="s">
        <v>264</v>
      </c>
    </row>
    <row r="19" spans="1:25" x14ac:dyDescent="0.2">
      <c r="A19" s="3" t="s">
        <v>109</v>
      </c>
      <c r="B19" s="3" t="str">
        <f>VLOOKUP(A19,Listas!A$3:C$30,3,0)</f>
        <v>Instituto Municipal de Mobilidade Urbana</v>
      </c>
      <c r="C19" s="11" t="s">
        <v>210</v>
      </c>
      <c r="D19" s="3" t="s">
        <v>186</v>
      </c>
      <c r="E19" s="3" t="s">
        <v>190</v>
      </c>
      <c r="F19" s="3"/>
      <c r="G19" s="3"/>
      <c r="H19" s="5"/>
      <c r="I19" s="5">
        <f t="shared" si="0"/>
        <v>0</v>
      </c>
      <c r="J19" s="3"/>
      <c r="K19" s="3" t="s">
        <v>264</v>
      </c>
      <c r="L19" s="5">
        <v>0</v>
      </c>
      <c r="M19" s="9">
        <v>20</v>
      </c>
      <c r="N19" s="10" t="s">
        <v>264</v>
      </c>
      <c r="O19" s="3" t="s">
        <v>264</v>
      </c>
      <c r="P19" s="3" t="s">
        <v>264</v>
      </c>
      <c r="Q19" s="11" t="s">
        <v>134</v>
      </c>
      <c r="R19" s="3" t="s">
        <v>264</v>
      </c>
      <c r="S19" s="12" t="s">
        <v>264</v>
      </c>
      <c r="T19" s="9" t="str">
        <f>VLOOKUP(A19,Listas!A$3:C$30,2,0)</f>
        <v>58201</v>
      </c>
      <c r="U19" s="3" t="s">
        <v>264</v>
      </c>
      <c r="V19" s="3" t="s">
        <v>264</v>
      </c>
      <c r="W19" s="5" t="s">
        <v>264</v>
      </c>
      <c r="X19" s="3" t="s">
        <v>264</v>
      </c>
      <c r="Y19" s="3" t="s">
        <v>264</v>
      </c>
    </row>
    <row r="20" spans="1:25" x14ac:dyDescent="0.2">
      <c r="A20" s="3" t="s">
        <v>109</v>
      </c>
      <c r="B20" s="3" t="str">
        <f>VLOOKUP(A20,Listas!A$3:C$30,3,0)</f>
        <v>Instituto Municipal de Mobilidade Urbana</v>
      </c>
      <c r="C20" s="11" t="s">
        <v>211</v>
      </c>
      <c r="D20" s="3" t="s">
        <v>184</v>
      </c>
      <c r="E20" s="3" t="s">
        <v>190</v>
      </c>
      <c r="F20" s="3"/>
      <c r="G20" s="3"/>
      <c r="H20" s="5"/>
      <c r="I20" s="5">
        <f t="shared" si="0"/>
        <v>0</v>
      </c>
      <c r="J20" s="3"/>
      <c r="K20" s="3" t="s">
        <v>264</v>
      </c>
      <c r="L20" s="5">
        <v>0</v>
      </c>
      <c r="M20" s="9">
        <v>21</v>
      </c>
      <c r="N20" s="10" t="s">
        <v>264</v>
      </c>
      <c r="O20" s="3" t="s">
        <v>264</v>
      </c>
      <c r="P20" s="3" t="s">
        <v>264</v>
      </c>
      <c r="Q20" s="11" t="s">
        <v>135</v>
      </c>
      <c r="R20" s="3" t="s">
        <v>264</v>
      </c>
      <c r="S20" s="12" t="s">
        <v>264</v>
      </c>
      <c r="T20" s="9" t="str">
        <f>VLOOKUP(A20,Listas!A$3:C$30,2,0)</f>
        <v>58201</v>
      </c>
      <c r="U20" s="3" t="s">
        <v>264</v>
      </c>
      <c r="V20" s="3" t="s">
        <v>264</v>
      </c>
      <c r="W20" s="5" t="s">
        <v>264</v>
      </c>
      <c r="X20" s="3" t="s">
        <v>264</v>
      </c>
      <c r="Y20" s="3" t="s">
        <v>264</v>
      </c>
    </row>
    <row r="21" spans="1:25" x14ac:dyDescent="0.2">
      <c r="A21" s="3" t="s">
        <v>109</v>
      </c>
      <c r="B21" s="3" t="str">
        <f>VLOOKUP(A21,Listas!A$3:C$30,3,0)</f>
        <v>Instituto Municipal de Mobilidade Urbana</v>
      </c>
      <c r="C21" s="11" t="s">
        <v>212</v>
      </c>
      <c r="D21" s="3" t="s">
        <v>186</v>
      </c>
      <c r="E21" s="3" t="s">
        <v>190</v>
      </c>
      <c r="F21" s="3"/>
      <c r="G21" s="3"/>
      <c r="H21" s="5"/>
      <c r="I21" s="5">
        <f t="shared" si="0"/>
        <v>0</v>
      </c>
      <c r="J21" s="3"/>
      <c r="K21" s="3" t="s">
        <v>264</v>
      </c>
      <c r="L21" s="5">
        <v>0</v>
      </c>
      <c r="M21" s="9">
        <v>22</v>
      </c>
      <c r="N21" s="10" t="s">
        <v>264</v>
      </c>
      <c r="O21" s="3" t="s">
        <v>264</v>
      </c>
      <c r="P21" s="3" t="s">
        <v>264</v>
      </c>
      <c r="Q21" s="11" t="s">
        <v>136</v>
      </c>
      <c r="R21" s="3" t="s">
        <v>264</v>
      </c>
      <c r="S21" s="12" t="s">
        <v>264</v>
      </c>
      <c r="T21" s="9" t="str">
        <f>VLOOKUP(A21,Listas!A$3:C$30,2,0)</f>
        <v>58201</v>
      </c>
      <c r="U21" s="3" t="s">
        <v>264</v>
      </c>
      <c r="V21" s="3" t="s">
        <v>264</v>
      </c>
      <c r="W21" s="5" t="s">
        <v>264</v>
      </c>
      <c r="X21" s="3" t="s">
        <v>264</v>
      </c>
      <c r="Y21" s="3" t="s">
        <v>264</v>
      </c>
    </row>
    <row r="22" spans="1:25" x14ac:dyDescent="0.2">
      <c r="A22" s="3" t="s">
        <v>109</v>
      </c>
      <c r="B22" s="3" t="str">
        <f>VLOOKUP(A22,Listas!A$3:C$30,3,0)</f>
        <v>Instituto Municipal de Mobilidade Urbana</v>
      </c>
      <c r="C22" s="11" t="s">
        <v>213</v>
      </c>
      <c r="D22" s="3" t="s">
        <v>185</v>
      </c>
      <c r="E22" s="3" t="s">
        <v>190</v>
      </c>
      <c r="F22" s="3"/>
      <c r="G22" s="3"/>
      <c r="H22" s="5"/>
      <c r="I22" s="5">
        <f t="shared" si="0"/>
        <v>0</v>
      </c>
      <c r="J22" s="3"/>
      <c r="K22" s="3" t="s">
        <v>264</v>
      </c>
      <c r="L22" s="5">
        <v>0</v>
      </c>
      <c r="M22" s="9">
        <v>23</v>
      </c>
      <c r="N22" s="10" t="s">
        <v>264</v>
      </c>
      <c r="O22" s="3" t="s">
        <v>264</v>
      </c>
      <c r="P22" s="3" t="s">
        <v>264</v>
      </c>
      <c r="Q22" s="11" t="s">
        <v>137</v>
      </c>
      <c r="R22" s="3" t="s">
        <v>264</v>
      </c>
      <c r="S22" s="12" t="s">
        <v>264</v>
      </c>
      <c r="T22" s="9" t="str">
        <f>VLOOKUP(A22,Listas!A$3:C$30,2,0)</f>
        <v>58201</v>
      </c>
      <c r="U22" s="3" t="s">
        <v>264</v>
      </c>
      <c r="V22" s="3" t="s">
        <v>264</v>
      </c>
      <c r="W22" s="5" t="s">
        <v>264</v>
      </c>
      <c r="X22" s="3" t="s">
        <v>264</v>
      </c>
      <c r="Y22" s="3" t="s">
        <v>264</v>
      </c>
    </row>
    <row r="23" spans="1:25" x14ac:dyDescent="0.2">
      <c r="A23" s="3" t="s">
        <v>109</v>
      </c>
      <c r="B23" s="3" t="str">
        <f>VLOOKUP(A23,Listas!A$3:C$30,3,0)</f>
        <v>Instituto Municipal de Mobilidade Urbana</v>
      </c>
      <c r="C23" s="11" t="s">
        <v>214</v>
      </c>
      <c r="D23" s="3" t="s">
        <v>185</v>
      </c>
      <c r="E23" s="3" t="s">
        <v>190</v>
      </c>
      <c r="F23" s="3"/>
      <c r="G23" s="3"/>
      <c r="H23" s="5"/>
      <c r="I23" s="5">
        <f t="shared" si="0"/>
        <v>0</v>
      </c>
      <c r="J23" s="3"/>
      <c r="K23" s="3" t="s">
        <v>264</v>
      </c>
      <c r="L23" s="5">
        <v>0</v>
      </c>
      <c r="M23" s="9">
        <v>24</v>
      </c>
      <c r="N23" s="10" t="s">
        <v>264</v>
      </c>
      <c r="O23" s="3" t="s">
        <v>264</v>
      </c>
      <c r="P23" s="3" t="s">
        <v>264</v>
      </c>
      <c r="Q23" s="11" t="s">
        <v>138</v>
      </c>
      <c r="R23" s="3" t="s">
        <v>264</v>
      </c>
      <c r="S23" s="12" t="s">
        <v>264</v>
      </c>
      <c r="T23" s="9" t="str">
        <f>VLOOKUP(A23,Listas!A$3:C$30,2,0)</f>
        <v>58201</v>
      </c>
      <c r="U23" s="3" t="s">
        <v>264</v>
      </c>
      <c r="V23" s="3" t="s">
        <v>264</v>
      </c>
      <c r="W23" s="5" t="s">
        <v>264</v>
      </c>
      <c r="X23" s="3" t="s">
        <v>264</v>
      </c>
      <c r="Y23" s="3" t="s">
        <v>264</v>
      </c>
    </row>
    <row r="24" spans="1:25" x14ac:dyDescent="0.2">
      <c r="A24" s="3" t="s">
        <v>109</v>
      </c>
      <c r="B24" s="3" t="str">
        <f>VLOOKUP(A24,Listas!A$3:C$30,3,0)</f>
        <v>Instituto Municipal de Mobilidade Urbana</v>
      </c>
      <c r="C24" s="11" t="s">
        <v>215</v>
      </c>
      <c r="D24" s="3" t="s">
        <v>185</v>
      </c>
      <c r="E24" s="3" t="s">
        <v>190</v>
      </c>
      <c r="F24" s="3"/>
      <c r="G24" s="3"/>
      <c r="H24" s="5"/>
      <c r="I24" s="5">
        <f t="shared" si="0"/>
        <v>0</v>
      </c>
      <c r="J24" s="3"/>
      <c r="K24" s="3" t="s">
        <v>264</v>
      </c>
      <c r="L24" s="5">
        <v>0</v>
      </c>
      <c r="M24" s="9">
        <v>25</v>
      </c>
      <c r="N24" s="10" t="s">
        <v>264</v>
      </c>
      <c r="O24" s="3" t="s">
        <v>264</v>
      </c>
      <c r="P24" s="3" t="s">
        <v>264</v>
      </c>
      <c r="Q24" s="11" t="s">
        <v>139</v>
      </c>
      <c r="R24" s="3" t="s">
        <v>264</v>
      </c>
      <c r="S24" s="12" t="s">
        <v>264</v>
      </c>
      <c r="T24" s="9" t="str">
        <f>VLOOKUP(A24,Listas!A$3:C$30,2,0)</f>
        <v>58201</v>
      </c>
      <c r="U24" s="3" t="s">
        <v>264</v>
      </c>
      <c r="V24" s="3" t="s">
        <v>264</v>
      </c>
      <c r="W24" s="5" t="s">
        <v>264</v>
      </c>
      <c r="X24" s="3" t="s">
        <v>264</v>
      </c>
      <c r="Y24" s="3" t="s">
        <v>264</v>
      </c>
    </row>
    <row r="25" spans="1:25" x14ac:dyDescent="0.2">
      <c r="A25" s="3" t="s">
        <v>109</v>
      </c>
      <c r="B25" s="3" t="str">
        <f>VLOOKUP(A25,Listas!A$3:C$30,3,0)</f>
        <v>Instituto Municipal de Mobilidade Urbana</v>
      </c>
      <c r="C25" s="11" t="s">
        <v>216</v>
      </c>
      <c r="D25" s="3" t="s">
        <v>185</v>
      </c>
      <c r="E25" s="3" t="s">
        <v>190</v>
      </c>
      <c r="F25" s="3"/>
      <c r="G25" s="3"/>
      <c r="H25" s="5"/>
      <c r="I25" s="5">
        <f t="shared" si="0"/>
        <v>0</v>
      </c>
      <c r="J25" s="3"/>
      <c r="K25" s="3" t="s">
        <v>264</v>
      </c>
      <c r="L25" s="5">
        <v>0</v>
      </c>
      <c r="M25" s="9">
        <v>26</v>
      </c>
      <c r="N25" s="10" t="s">
        <v>264</v>
      </c>
      <c r="O25" s="3" t="s">
        <v>264</v>
      </c>
      <c r="P25" s="3" t="s">
        <v>264</v>
      </c>
      <c r="Q25" s="11" t="s">
        <v>140</v>
      </c>
      <c r="R25" s="3" t="s">
        <v>264</v>
      </c>
      <c r="S25" s="12" t="s">
        <v>264</v>
      </c>
      <c r="T25" s="9" t="str">
        <f>VLOOKUP(A25,Listas!A$3:C$30,2,0)</f>
        <v>58201</v>
      </c>
      <c r="U25" s="3" t="s">
        <v>264</v>
      </c>
      <c r="V25" s="3" t="s">
        <v>264</v>
      </c>
      <c r="W25" s="5" t="s">
        <v>264</v>
      </c>
      <c r="X25" s="3" t="s">
        <v>264</v>
      </c>
      <c r="Y25" s="3" t="s">
        <v>264</v>
      </c>
    </row>
    <row r="26" spans="1:25" x14ac:dyDescent="0.2">
      <c r="A26" s="3" t="s">
        <v>109</v>
      </c>
      <c r="B26" s="3" t="str">
        <f>VLOOKUP(A26,Listas!A$3:C$30,3,0)</f>
        <v>Instituto Municipal de Mobilidade Urbana</v>
      </c>
      <c r="C26" s="11" t="s">
        <v>217</v>
      </c>
      <c r="D26" s="3" t="s">
        <v>183</v>
      </c>
      <c r="E26" s="3" t="s">
        <v>190</v>
      </c>
      <c r="F26" s="3"/>
      <c r="G26" s="3"/>
      <c r="H26" s="5"/>
      <c r="I26" s="5">
        <f t="shared" si="0"/>
        <v>0</v>
      </c>
      <c r="J26" s="3"/>
      <c r="K26" s="3" t="s">
        <v>264</v>
      </c>
      <c r="L26" s="5">
        <v>0</v>
      </c>
      <c r="M26" s="9">
        <v>27</v>
      </c>
      <c r="N26" s="10" t="s">
        <v>264</v>
      </c>
      <c r="O26" s="3" t="s">
        <v>264</v>
      </c>
      <c r="P26" s="3" t="s">
        <v>264</v>
      </c>
      <c r="Q26" s="11" t="s">
        <v>141</v>
      </c>
      <c r="R26" s="3" t="s">
        <v>264</v>
      </c>
      <c r="S26" s="12" t="s">
        <v>264</v>
      </c>
      <c r="T26" s="9" t="str">
        <f>VLOOKUP(A26,Listas!A$3:C$30,2,0)</f>
        <v>58201</v>
      </c>
      <c r="U26" s="3" t="s">
        <v>264</v>
      </c>
      <c r="V26" s="3" t="s">
        <v>264</v>
      </c>
      <c r="W26" s="5" t="s">
        <v>264</v>
      </c>
      <c r="X26" s="3" t="s">
        <v>264</v>
      </c>
      <c r="Y26" s="3" t="s">
        <v>264</v>
      </c>
    </row>
    <row r="27" spans="1:25" x14ac:dyDescent="0.2">
      <c r="A27" s="3" t="s">
        <v>109</v>
      </c>
      <c r="B27" s="3" t="str">
        <f>VLOOKUP(A27,Listas!A$3:C$30,3,0)</f>
        <v>Instituto Municipal de Mobilidade Urbana</v>
      </c>
      <c r="C27" s="11" t="s">
        <v>218</v>
      </c>
      <c r="D27" s="3" t="s">
        <v>183</v>
      </c>
      <c r="E27" s="3" t="s">
        <v>190</v>
      </c>
      <c r="F27" s="3"/>
      <c r="G27" s="3"/>
      <c r="H27" s="5"/>
      <c r="I27" s="5">
        <f t="shared" si="0"/>
        <v>0</v>
      </c>
      <c r="J27" s="3"/>
      <c r="K27" s="3" t="s">
        <v>264</v>
      </c>
      <c r="L27" s="5">
        <v>0</v>
      </c>
      <c r="M27" s="9">
        <v>28</v>
      </c>
      <c r="N27" s="10" t="s">
        <v>264</v>
      </c>
      <c r="O27" s="3" t="s">
        <v>264</v>
      </c>
      <c r="P27" s="3" t="s">
        <v>264</v>
      </c>
      <c r="Q27" s="11" t="s">
        <v>142</v>
      </c>
      <c r="R27" s="3" t="s">
        <v>264</v>
      </c>
      <c r="S27" s="12" t="s">
        <v>264</v>
      </c>
      <c r="T27" s="9" t="str">
        <f>VLOOKUP(A27,Listas!A$3:C$30,2,0)</f>
        <v>58201</v>
      </c>
      <c r="U27" s="3" t="s">
        <v>264</v>
      </c>
      <c r="V27" s="3" t="s">
        <v>264</v>
      </c>
      <c r="W27" s="5" t="s">
        <v>264</v>
      </c>
      <c r="X27" s="3" t="s">
        <v>264</v>
      </c>
      <c r="Y27" s="3" t="s">
        <v>264</v>
      </c>
    </row>
    <row r="28" spans="1:25" x14ac:dyDescent="0.2">
      <c r="A28" s="3" t="s">
        <v>109</v>
      </c>
      <c r="B28" s="3" t="str">
        <f>VLOOKUP(A28,Listas!A$3:C$30,3,0)</f>
        <v>Instituto Municipal de Mobilidade Urbana</v>
      </c>
      <c r="C28" s="11" t="s">
        <v>219</v>
      </c>
      <c r="D28" s="3" t="s">
        <v>183</v>
      </c>
      <c r="E28" s="3" t="s">
        <v>190</v>
      </c>
      <c r="F28" s="3"/>
      <c r="G28" s="3"/>
      <c r="H28" s="5"/>
      <c r="I28" s="5">
        <f t="shared" si="0"/>
        <v>0</v>
      </c>
      <c r="J28" s="3"/>
      <c r="K28" s="3" t="s">
        <v>264</v>
      </c>
      <c r="L28" s="5">
        <v>0</v>
      </c>
      <c r="M28" s="9">
        <v>29</v>
      </c>
      <c r="N28" s="10" t="s">
        <v>264</v>
      </c>
      <c r="O28" s="3" t="s">
        <v>264</v>
      </c>
      <c r="P28" s="3" t="s">
        <v>264</v>
      </c>
      <c r="Q28" s="11" t="s">
        <v>143</v>
      </c>
      <c r="R28" s="3" t="s">
        <v>264</v>
      </c>
      <c r="S28" s="12" t="s">
        <v>264</v>
      </c>
      <c r="T28" s="9" t="str">
        <f>VLOOKUP(A28,Listas!A$3:C$30,2,0)</f>
        <v>58201</v>
      </c>
      <c r="U28" s="3" t="s">
        <v>264</v>
      </c>
      <c r="V28" s="3" t="s">
        <v>264</v>
      </c>
      <c r="W28" s="5" t="s">
        <v>264</v>
      </c>
      <c r="X28" s="3" t="s">
        <v>264</v>
      </c>
      <c r="Y28" s="3" t="s">
        <v>264</v>
      </c>
    </row>
    <row r="29" spans="1:25" x14ac:dyDescent="0.2">
      <c r="A29" s="3" t="s">
        <v>109</v>
      </c>
      <c r="B29" s="3" t="str">
        <f>VLOOKUP(A29,Listas!A$3:C$30,3,0)</f>
        <v>Instituto Municipal de Mobilidade Urbana</v>
      </c>
      <c r="C29" s="11" t="s">
        <v>220</v>
      </c>
      <c r="D29" s="3" t="s">
        <v>183</v>
      </c>
      <c r="E29" s="3" t="s">
        <v>190</v>
      </c>
      <c r="F29" s="3"/>
      <c r="G29" s="3"/>
      <c r="H29" s="5"/>
      <c r="I29" s="5">
        <f t="shared" si="0"/>
        <v>0</v>
      </c>
      <c r="J29" s="3"/>
      <c r="K29" s="3" t="s">
        <v>264</v>
      </c>
      <c r="L29" s="5">
        <v>0</v>
      </c>
      <c r="M29" s="9">
        <v>30</v>
      </c>
      <c r="N29" s="10" t="s">
        <v>264</v>
      </c>
      <c r="O29" s="3" t="s">
        <v>264</v>
      </c>
      <c r="P29" s="3" t="s">
        <v>264</v>
      </c>
      <c r="Q29" s="11" t="s">
        <v>279</v>
      </c>
      <c r="R29" s="3" t="s">
        <v>264</v>
      </c>
      <c r="S29" s="12" t="s">
        <v>264</v>
      </c>
      <c r="T29" s="9" t="str">
        <f>VLOOKUP(A29,Listas!A$3:C$30,2,0)</f>
        <v>58201</v>
      </c>
      <c r="U29" s="3" t="s">
        <v>264</v>
      </c>
      <c r="V29" s="3" t="s">
        <v>264</v>
      </c>
      <c r="W29" s="5" t="s">
        <v>264</v>
      </c>
      <c r="X29" s="3" t="s">
        <v>264</v>
      </c>
      <c r="Y29" s="3" t="s">
        <v>264</v>
      </c>
    </row>
    <row r="30" spans="1:25" x14ac:dyDescent="0.2">
      <c r="A30" s="3" t="s">
        <v>109</v>
      </c>
      <c r="B30" s="3" t="str">
        <f>VLOOKUP(A30,Listas!A$3:C$30,3,0)</f>
        <v>Instituto Municipal de Mobilidade Urbana</v>
      </c>
      <c r="C30" s="11" t="s">
        <v>221</v>
      </c>
      <c r="D30" s="3" t="s">
        <v>183</v>
      </c>
      <c r="E30" s="3" t="s">
        <v>190</v>
      </c>
      <c r="F30" s="3"/>
      <c r="G30" s="3"/>
      <c r="H30" s="5"/>
      <c r="I30" s="5">
        <f t="shared" si="0"/>
        <v>0</v>
      </c>
      <c r="J30" s="3"/>
      <c r="K30" s="3" t="s">
        <v>264</v>
      </c>
      <c r="L30" s="5">
        <v>0</v>
      </c>
      <c r="M30" s="9">
        <v>31</v>
      </c>
      <c r="N30" s="10" t="s">
        <v>264</v>
      </c>
      <c r="O30" s="3" t="s">
        <v>264</v>
      </c>
      <c r="P30" s="3" t="s">
        <v>264</v>
      </c>
      <c r="Q30" s="11" t="s">
        <v>144</v>
      </c>
      <c r="R30" s="3" t="s">
        <v>264</v>
      </c>
      <c r="S30" s="12" t="s">
        <v>264</v>
      </c>
      <c r="T30" s="9" t="str">
        <f>VLOOKUP(A30,Listas!A$3:C$30,2,0)</f>
        <v>58201</v>
      </c>
      <c r="U30" s="3" t="s">
        <v>264</v>
      </c>
      <c r="V30" s="3" t="s">
        <v>264</v>
      </c>
      <c r="W30" s="5" t="s">
        <v>264</v>
      </c>
      <c r="X30" s="3" t="s">
        <v>264</v>
      </c>
      <c r="Y30" s="3" t="s">
        <v>264</v>
      </c>
    </row>
    <row r="31" spans="1:25" x14ac:dyDescent="0.2">
      <c r="A31" s="3" t="s">
        <v>109</v>
      </c>
      <c r="B31" s="3" t="str">
        <f>VLOOKUP(A31,Listas!A$3:C$30,3,0)</f>
        <v>Instituto Municipal de Mobilidade Urbana</v>
      </c>
      <c r="C31" s="11" t="s">
        <v>222</v>
      </c>
      <c r="D31" s="3" t="s">
        <v>186</v>
      </c>
      <c r="E31" s="3" t="s">
        <v>190</v>
      </c>
      <c r="F31" s="3"/>
      <c r="G31" s="3"/>
      <c r="H31" s="5"/>
      <c r="I31" s="5">
        <f t="shared" si="0"/>
        <v>0</v>
      </c>
      <c r="J31" s="3"/>
      <c r="K31" s="3" t="s">
        <v>264</v>
      </c>
      <c r="L31" s="5">
        <v>0</v>
      </c>
      <c r="M31" s="9">
        <v>32</v>
      </c>
      <c r="N31" s="10" t="s">
        <v>264</v>
      </c>
      <c r="O31" s="3" t="s">
        <v>264</v>
      </c>
      <c r="P31" s="3" t="s">
        <v>264</v>
      </c>
      <c r="Q31" s="11" t="s">
        <v>145</v>
      </c>
      <c r="R31" s="3" t="s">
        <v>264</v>
      </c>
      <c r="S31" s="12" t="s">
        <v>264</v>
      </c>
      <c r="T31" s="9" t="str">
        <f>VLOOKUP(A31,Listas!A$3:C$30,2,0)</f>
        <v>58201</v>
      </c>
      <c r="U31" s="3" t="s">
        <v>264</v>
      </c>
      <c r="V31" s="3" t="s">
        <v>264</v>
      </c>
      <c r="W31" s="5" t="s">
        <v>264</v>
      </c>
      <c r="X31" s="3" t="s">
        <v>264</v>
      </c>
      <c r="Y31" s="3" t="s">
        <v>264</v>
      </c>
    </row>
    <row r="32" spans="1:25" x14ac:dyDescent="0.2">
      <c r="A32" s="3" t="s">
        <v>109</v>
      </c>
      <c r="B32" s="3" t="str">
        <f>VLOOKUP(A32,Listas!A$3:C$30,3,0)</f>
        <v>Instituto Municipal de Mobilidade Urbana</v>
      </c>
      <c r="C32" s="11" t="s">
        <v>223</v>
      </c>
      <c r="D32" s="3" t="s">
        <v>186</v>
      </c>
      <c r="E32" s="3" t="s">
        <v>190</v>
      </c>
      <c r="F32" s="3"/>
      <c r="G32" s="3"/>
      <c r="H32" s="5"/>
      <c r="I32" s="5">
        <f t="shared" si="0"/>
        <v>0</v>
      </c>
      <c r="J32" s="3"/>
      <c r="K32" s="3" t="s">
        <v>264</v>
      </c>
      <c r="L32" s="5">
        <v>0</v>
      </c>
      <c r="M32" s="9">
        <v>33</v>
      </c>
      <c r="N32" s="10" t="s">
        <v>264</v>
      </c>
      <c r="O32" s="3" t="s">
        <v>264</v>
      </c>
      <c r="P32" s="3" t="s">
        <v>264</v>
      </c>
      <c r="Q32" s="11" t="s">
        <v>146</v>
      </c>
      <c r="R32" s="3" t="s">
        <v>264</v>
      </c>
      <c r="S32" s="12" t="s">
        <v>264</v>
      </c>
      <c r="T32" s="9" t="str">
        <f>VLOOKUP(A32,Listas!A$3:C$30,2,0)</f>
        <v>58201</v>
      </c>
      <c r="U32" s="3" t="s">
        <v>264</v>
      </c>
      <c r="V32" s="3" t="s">
        <v>264</v>
      </c>
      <c r="W32" s="5" t="s">
        <v>264</v>
      </c>
      <c r="X32" s="3" t="s">
        <v>264</v>
      </c>
      <c r="Y32" s="3" t="s">
        <v>264</v>
      </c>
    </row>
    <row r="33" spans="1:25" x14ac:dyDescent="0.2">
      <c r="A33" s="3" t="s">
        <v>109</v>
      </c>
      <c r="B33" s="3" t="str">
        <f>VLOOKUP(A33,Listas!A$3:C$30,3,0)</f>
        <v>Instituto Municipal de Mobilidade Urbana</v>
      </c>
      <c r="C33" s="11" t="s">
        <v>224</v>
      </c>
      <c r="D33" s="3" t="s">
        <v>186</v>
      </c>
      <c r="E33" s="3" t="s">
        <v>190</v>
      </c>
      <c r="F33" s="3"/>
      <c r="G33" s="3"/>
      <c r="H33" s="5"/>
      <c r="I33" s="5">
        <f t="shared" si="0"/>
        <v>0</v>
      </c>
      <c r="J33" s="3"/>
      <c r="K33" s="3" t="s">
        <v>264</v>
      </c>
      <c r="L33" s="5">
        <v>0</v>
      </c>
      <c r="M33" s="9">
        <v>34</v>
      </c>
      <c r="N33" s="10" t="s">
        <v>264</v>
      </c>
      <c r="O33" s="3" t="s">
        <v>264</v>
      </c>
      <c r="P33" s="3" t="s">
        <v>264</v>
      </c>
      <c r="Q33" s="11" t="s">
        <v>147</v>
      </c>
      <c r="R33" s="3" t="s">
        <v>264</v>
      </c>
      <c r="S33" s="12" t="s">
        <v>264</v>
      </c>
      <c r="T33" s="9" t="str">
        <f>VLOOKUP(A33,Listas!A$3:C$30,2,0)</f>
        <v>58201</v>
      </c>
      <c r="U33" s="3" t="s">
        <v>264</v>
      </c>
      <c r="V33" s="3" t="s">
        <v>264</v>
      </c>
      <c r="W33" s="5" t="s">
        <v>264</v>
      </c>
      <c r="X33" s="3" t="s">
        <v>264</v>
      </c>
      <c r="Y33" s="3" t="s">
        <v>264</v>
      </c>
    </row>
    <row r="34" spans="1:25" x14ac:dyDescent="0.2">
      <c r="A34" s="3" t="s">
        <v>109</v>
      </c>
      <c r="B34" s="3" t="str">
        <f>VLOOKUP(A34,Listas!A$3:C$30,3,0)</f>
        <v>Instituto Municipal de Mobilidade Urbana</v>
      </c>
      <c r="C34" s="11" t="s">
        <v>225</v>
      </c>
      <c r="D34" s="3" t="s">
        <v>186</v>
      </c>
      <c r="E34" s="3" t="s">
        <v>190</v>
      </c>
      <c r="F34" s="3"/>
      <c r="G34" s="3"/>
      <c r="H34" s="5"/>
      <c r="I34" s="5">
        <f t="shared" si="0"/>
        <v>0</v>
      </c>
      <c r="J34" s="3"/>
      <c r="K34" s="3" t="s">
        <v>264</v>
      </c>
      <c r="L34" s="5">
        <v>0</v>
      </c>
      <c r="M34" s="9">
        <v>35</v>
      </c>
      <c r="N34" s="10" t="s">
        <v>264</v>
      </c>
      <c r="O34" s="3" t="s">
        <v>264</v>
      </c>
      <c r="P34" s="3" t="s">
        <v>264</v>
      </c>
      <c r="Q34" s="11" t="s">
        <v>148</v>
      </c>
      <c r="R34" s="3" t="s">
        <v>264</v>
      </c>
      <c r="S34" s="12" t="s">
        <v>264</v>
      </c>
      <c r="T34" s="9" t="str">
        <f>VLOOKUP(A34,Listas!A$3:C$30,2,0)</f>
        <v>58201</v>
      </c>
      <c r="U34" s="3" t="s">
        <v>264</v>
      </c>
      <c r="V34" s="3" t="s">
        <v>264</v>
      </c>
      <c r="W34" s="5" t="s">
        <v>264</v>
      </c>
      <c r="X34" s="3" t="s">
        <v>264</v>
      </c>
      <c r="Y34" s="3" t="s">
        <v>264</v>
      </c>
    </row>
    <row r="35" spans="1:25" x14ac:dyDescent="0.2">
      <c r="A35" s="3" t="s">
        <v>109</v>
      </c>
      <c r="B35" s="3" t="str">
        <f>VLOOKUP(A35,Listas!A$3:C$30,3,0)</f>
        <v>Instituto Municipal de Mobilidade Urbana</v>
      </c>
      <c r="C35" s="11" t="s">
        <v>226</v>
      </c>
      <c r="D35" s="3" t="s">
        <v>186</v>
      </c>
      <c r="E35" s="3" t="s">
        <v>190</v>
      </c>
      <c r="F35" s="3"/>
      <c r="G35" s="3"/>
      <c r="H35" s="5"/>
      <c r="I35" s="5">
        <f t="shared" si="0"/>
        <v>0</v>
      </c>
      <c r="J35" s="3"/>
      <c r="K35" s="3" t="s">
        <v>264</v>
      </c>
      <c r="L35" s="5">
        <v>0</v>
      </c>
      <c r="M35" s="9">
        <v>36</v>
      </c>
      <c r="N35" s="10" t="s">
        <v>264</v>
      </c>
      <c r="O35" s="3" t="s">
        <v>264</v>
      </c>
      <c r="P35" s="3" t="s">
        <v>264</v>
      </c>
      <c r="Q35" s="11" t="s">
        <v>149</v>
      </c>
      <c r="R35" s="3" t="s">
        <v>264</v>
      </c>
      <c r="S35" s="12" t="s">
        <v>264</v>
      </c>
      <c r="T35" s="9" t="str">
        <f>VLOOKUP(A35,Listas!A$3:C$30,2,0)</f>
        <v>58201</v>
      </c>
      <c r="U35" s="3" t="s">
        <v>264</v>
      </c>
      <c r="V35" s="3" t="s">
        <v>264</v>
      </c>
      <c r="W35" s="5" t="s">
        <v>264</v>
      </c>
      <c r="X35" s="3" t="s">
        <v>264</v>
      </c>
      <c r="Y35" s="3" t="s">
        <v>264</v>
      </c>
    </row>
    <row r="36" spans="1:25" x14ac:dyDescent="0.2">
      <c r="A36" s="3" t="s">
        <v>109</v>
      </c>
      <c r="B36" s="3" t="str">
        <f>VLOOKUP(A36,Listas!A$3:C$30,3,0)</f>
        <v>Instituto Municipal de Mobilidade Urbana</v>
      </c>
      <c r="C36" s="11" t="s">
        <v>227</v>
      </c>
      <c r="D36" s="3" t="s">
        <v>186</v>
      </c>
      <c r="E36" s="3" t="s">
        <v>190</v>
      </c>
      <c r="F36" s="3"/>
      <c r="G36" s="3"/>
      <c r="H36" s="5"/>
      <c r="I36" s="5">
        <f t="shared" si="0"/>
        <v>0</v>
      </c>
      <c r="J36" s="3"/>
      <c r="K36" s="3" t="s">
        <v>264</v>
      </c>
      <c r="L36" s="5">
        <v>0</v>
      </c>
      <c r="M36" s="9">
        <v>37</v>
      </c>
      <c r="N36" s="10" t="s">
        <v>264</v>
      </c>
      <c r="O36" s="3" t="s">
        <v>264</v>
      </c>
      <c r="P36" s="3" t="s">
        <v>264</v>
      </c>
      <c r="Q36" s="11" t="s">
        <v>150</v>
      </c>
      <c r="R36" s="3" t="s">
        <v>264</v>
      </c>
      <c r="S36" s="12" t="s">
        <v>264</v>
      </c>
      <c r="T36" s="9" t="str">
        <f>VLOOKUP(A36,Listas!A$3:C$30,2,0)</f>
        <v>58201</v>
      </c>
      <c r="U36" s="3" t="s">
        <v>264</v>
      </c>
      <c r="V36" s="3" t="s">
        <v>264</v>
      </c>
      <c r="W36" s="5" t="s">
        <v>264</v>
      </c>
      <c r="X36" s="3" t="s">
        <v>264</v>
      </c>
      <c r="Y36" s="3" t="s">
        <v>264</v>
      </c>
    </row>
    <row r="37" spans="1:25" x14ac:dyDescent="0.2">
      <c r="A37" s="3" t="s">
        <v>109</v>
      </c>
      <c r="B37" s="3" t="str">
        <f>VLOOKUP(A37,Listas!A$3:C$30,3,0)</f>
        <v>Instituto Municipal de Mobilidade Urbana</v>
      </c>
      <c r="C37" s="11" t="s">
        <v>228</v>
      </c>
      <c r="D37" s="3" t="s">
        <v>186</v>
      </c>
      <c r="E37" s="3" t="s">
        <v>190</v>
      </c>
      <c r="F37" s="3"/>
      <c r="G37" s="3"/>
      <c r="H37" s="5"/>
      <c r="I37" s="5">
        <f t="shared" si="0"/>
        <v>0</v>
      </c>
      <c r="J37" s="3"/>
      <c r="K37" s="3" t="s">
        <v>264</v>
      </c>
      <c r="L37" s="5">
        <v>0</v>
      </c>
      <c r="M37" s="9">
        <v>38</v>
      </c>
      <c r="N37" s="10" t="s">
        <v>264</v>
      </c>
      <c r="O37" s="3" t="s">
        <v>264</v>
      </c>
      <c r="P37" s="3" t="s">
        <v>264</v>
      </c>
      <c r="Q37" s="11" t="s">
        <v>151</v>
      </c>
      <c r="R37" s="3" t="s">
        <v>264</v>
      </c>
      <c r="S37" s="12" t="s">
        <v>264</v>
      </c>
      <c r="T37" s="9" t="str">
        <f>VLOOKUP(A37,Listas!A$3:C$30,2,0)</f>
        <v>58201</v>
      </c>
      <c r="U37" s="3" t="s">
        <v>264</v>
      </c>
      <c r="V37" s="3" t="s">
        <v>264</v>
      </c>
      <c r="W37" s="5" t="s">
        <v>264</v>
      </c>
      <c r="X37" s="3" t="s">
        <v>264</v>
      </c>
      <c r="Y37" s="3" t="s">
        <v>264</v>
      </c>
    </row>
    <row r="38" spans="1:25" x14ac:dyDescent="0.2">
      <c r="A38" s="3" t="s">
        <v>109</v>
      </c>
      <c r="B38" s="3" t="str">
        <f>VLOOKUP(A38,Listas!A$3:C$30,3,0)</f>
        <v>Instituto Municipal de Mobilidade Urbana</v>
      </c>
      <c r="C38" s="11" t="s">
        <v>229</v>
      </c>
      <c r="D38" s="3" t="s">
        <v>186</v>
      </c>
      <c r="E38" s="3" t="s">
        <v>190</v>
      </c>
      <c r="F38" s="3"/>
      <c r="G38" s="3"/>
      <c r="H38" s="5"/>
      <c r="I38" s="5">
        <f t="shared" si="0"/>
        <v>0</v>
      </c>
      <c r="J38" s="3"/>
      <c r="K38" s="3" t="s">
        <v>264</v>
      </c>
      <c r="L38" s="5">
        <v>0</v>
      </c>
      <c r="M38" s="9">
        <v>39</v>
      </c>
      <c r="N38" s="10" t="s">
        <v>264</v>
      </c>
      <c r="O38" s="3" t="s">
        <v>264</v>
      </c>
      <c r="P38" s="3" t="s">
        <v>264</v>
      </c>
      <c r="Q38" s="11" t="s">
        <v>152</v>
      </c>
      <c r="R38" s="3" t="s">
        <v>264</v>
      </c>
      <c r="S38" s="12" t="s">
        <v>264</v>
      </c>
      <c r="T38" s="9" t="str">
        <f>VLOOKUP(A38,Listas!A$3:C$30,2,0)</f>
        <v>58201</v>
      </c>
      <c r="U38" s="3" t="s">
        <v>264</v>
      </c>
      <c r="V38" s="3" t="s">
        <v>264</v>
      </c>
      <c r="W38" s="5" t="s">
        <v>264</v>
      </c>
      <c r="X38" s="3" t="s">
        <v>264</v>
      </c>
      <c r="Y38" s="3" t="s">
        <v>264</v>
      </c>
    </row>
    <row r="39" spans="1:25" x14ac:dyDescent="0.2">
      <c r="A39" s="3" t="s">
        <v>109</v>
      </c>
      <c r="B39" s="3" t="str">
        <f>VLOOKUP(A39,Listas!A$3:C$30,3,0)</f>
        <v>Instituto Municipal de Mobilidade Urbana</v>
      </c>
      <c r="C39" s="11" t="s">
        <v>230</v>
      </c>
      <c r="D39" s="3" t="s">
        <v>186</v>
      </c>
      <c r="E39" s="3" t="s">
        <v>190</v>
      </c>
      <c r="F39" s="3"/>
      <c r="G39" s="3"/>
      <c r="H39" s="5"/>
      <c r="I39" s="5">
        <f t="shared" si="0"/>
        <v>0</v>
      </c>
      <c r="J39" s="3"/>
      <c r="K39" s="3" t="s">
        <v>264</v>
      </c>
      <c r="L39" s="5">
        <v>0</v>
      </c>
      <c r="M39" s="9">
        <v>40</v>
      </c>
      <c r="N39" s="10" t="s">
        <v>264</v>
      </c>
      <c r="O39" s="3" t="s">
        <v>264</v>
      </c>
      <c r="P39" s="3" t="s">
        <v>264</v>
      </c>
      <c r="Q39" s="11" t="s">
        <v>153</v>
      </c>
      <c r="R39" s="3" t="s">
        <v>264</v>
      </c>
      <c r="S39" s="12" t="s">
        <v>264</v>
      </c>
      <c r="T39" s="9" t="str">
        <f>VLOOKUP(A39,Listas!A$3:C$30,2,0)</f>
        <v>58201</v>
      </c>
      <c r="U39" s="3" t="s">
        <v>264</v>
      </c>
      <c r="V39" s="3" t="s">
        <v>264</v>
      </c>
      <c r="W39" s="5" t="s">
        <v>264</v>
      </c>
      <c r="X39" s="3" t="s">
        <v>264</v>
      </c>
      <c r="Y39" s="3" t="s">
        <v>264</v>
      </c>
    </row>
    <row r="40" spans="1:25" x14ac:dyDescent="0.2">
      <c r="A40" s="3" t="s">
        <v>109</v>
      </c>
      <c r="B40" s="3" t="str">
        <f>VLOOKUP(A40,Listas!A$3:C$30,3,0)</f>
        <v>Instituto Municipal de Mobilidade Urbana</v>
      </c>
      <c r="C40" s="11" t="s">
        <v>231</v>
      </c>
      <c r="D40" s="3" t="s">
        <v>188</v>
      </c>
      <c r="E40" s="3" t="s">
        <v>190</v>
      </c>
      <c r="F40" s="3"/>
      <c r="G40" s="3"/>
      <c r="H40" s="5"/>
      <c r="I40" s="5">
        <f t="shared" si="0"/>
        <v>0</v>
      </c>
      <c r="J40" s="3"/>
      <c r="K40" s="3" t="s">
        <v>264</v>
      </c>
      <c r="L40" s="5">
        <v>0</v>
      </c>
      <c r="M40" s="9">
        <v>41</v>
      </c>
      <c r="N40" s="10" t="s">
        <v>264</v>
      </c>
      <c r="O40" s="3" t="s">
        <v>264</v>
      </c>
      <c r="P40" s="3" t="s">
        <v>264</v>
      </c>
      <c r="Q40" s="11" t="s">
        <v>154</v>
      </c>
      <c r="R40" s="3" t="s">
        <v>264</v>
      </c>
      <c r="S40" s="12" t="s">
        <v>264</v>
      </c>
      <c r="T40" s="9" t="str">
        <f>VLOOKUP(A40,Listas!A$3:C$30,2,0)</f>
        <v>58201</v>
      </c>
      <c r="U40" s="3" t="s">
        <v>264</v>
      </c>
      <c r="V40" s="3" t="s">
        <v>264</v>
      </c>
      <c r="W40" s="5" t="s">
        <v>264</v>
      </c>
      <c r="X40" s="3" t="s">
        <v>264</v>
      </c>
      <c r="Y40" s="3" t="s">
        <v>264</v>
      </c>
    </row>
    <row r="41" spans="1:25" x14ac:dyDescent="0.2">
      <c r="A41" s="3" t="s">
        <v>109</v>
      </c>
      <c r="B41" s="3" t="str">
        <f>VLOOKUP(A41,Listas!A$3:C$30,3,0)</f>
        <v>Instituto Municipal de Mobilidade Urbana</v>
      </c>
      <c r="C41" s="11" t="s">
        <v>232</v>
      </c>
      <c r="D41" s="3" t="s">
        <v>188</v>
      </c>
      <c r="E41" s="3" t="s">
        <v>190</v>
      </c>
      <c r="F41" s="3"/>
      <c r="G41" s="3"/>
      <c r="H41" s="5"/>
      <c r="I41" s="5">
        <f t="shared" si="0"/>
        <v>0</v>
      </c>
      <c r="J41" s="3"/>
      <c r="K41" s="3" t="s">
        <v>264</v>
      </c>
      <c r="L41" s="5">
        <v>0</v>
      </c>
      <c r="M41" s="9">
        <v>42</v>
      </c>
      <c r="N41" s="10" t="s">
        <v>264</v>
      </c>
      <c r="O41" s="3" t="s">
        <v>264</v>
      </c>
      <c r="P41" s="3" t="s">
        <v>264</v>
      </c>
      <c r="Q41" s="11" t="s">
        <v>155</v>
      </c>
      <c r="R41" s="3" t="s">
        <v>264</v>
      </c>
      <c r="S41" s="12" t="s">
        <v>264</v>
      </c>
      <c r="T41" s="9" t="str">
        <f>VLOOKUP(A41,Listas!A$3:C$30,2,0)</f>
        <v>58201</v>
      </c>
      <c r="U41" s="3" t="s">
        <v>264</v>
      </c>
      <c r="V41" s="3" t="s">
        <v>264</v>
      </c>
      <c r="W41" s="5" t="s">
        <v>264</v>
      </c>
      <c r="X41" s="3" t="s">
        <v>264</v>
      </c>
      <c r="Y41" s="3" t="s">
        <v>264</v>
      </c>
    </row>
    <row r="42" spans="1:25" x14ac:dyDescent="0.2">
      <c r="A42" s="3" t="s">
        <v>109</v>
      </c>
      <c r="B42" s="3" t="str">
        <f>VLOOKUP(A42,Listas!A$3:C$30,3,0)</f>
        <v>Instituto Municipal de Mobilidade Urbana</v>
      </c>
      <c r="C42" s="11" t="s">
        <v>233</v>
      </c>
      <c r="D42" s="3" t="s">
        <v>188</v>
      </c>
      <c r="E42" s="3" t="s">
        <v>190</v>
      </c>
      <c r="F42" s="3"/>
      <c r="G42" s="3"/>
      <c r="H42" s="5"/>
      <c r="I42" s="5">
        <f t="shared" si="0"/>
        <v>0</v>
      </c>
      <c r="J42" s="3"/>
      <c r="K42" s="3" t="s">
        <v>264</v>
      </c>
      <c r="L42" s="5">
        <v>0</v>
      </c>
      <c r="M42" s="9">
        <v>43</v>
      </c>
      <c r="N42" s="10" t="s">
        <v>264</v>
      </c>
      <c r="O42" s="3" t="s">
        <v>264</v>
      </c>
      <c r="P42" s="3" t="s">
        <v>264</v>
      </c>
      <c r="Q42" s="11" t="s">
        <v>156</v>
      </c>
      <c r="R42" s="3" t="s">
        <v>264</v>
      </c>
      <c r="S42" s="12" t="s">
        <v>264</v>
      </c>
      <c r="T42" s="9" t="str">
        <f>VLOOKUP(A42,Listas!A$3:C$30,2,0)</f>
        <v>58201</v>
      </c>
      <c r="U42" s="3" t="s">
        <v>264</v>
      </c>
      <c r="V42" s="3" t="s">
        <v>264</v>
      </c>
      <c r="W42" s="5" t="s">
        <v>264</v>
      </c>
      <c r="X42" s="3" t="s">
        <v>264</v>
      </c>
      <c r="Y42" s="3" t="s">
        <v>264</v>
      </c>
    </row>
    <row r="43" spans="1:25" x14ac:dyDescent="0.2">
      <c r="A43" s="3" t="s">
        <v>109</v>
      </c>
      <c r="B43" s="3" t="str">
        <f>VLOOKUP(A43,Listas!A$3:C$30,3,0)</f>
        <v>Instituto Municipal de Mobilidade Urbana</v>
      </c>
      <c r="C43" s="11" t="s">
        <v>234</v>
      </c>
      <c r="D43" s="3" t="s">
        <v>188</v>
      </c>
      <c r="E43" s="3" t="s">
        <v>190</v>
      </c>
      <c r="F43" s="3"/>
      <c r="G43" s="3"/>
      <c r="H43" s="5"/>
      <c r="I43" s="5">
        <f t="shared" si="0"/>
        <v>0</v>
      </c>
      <c r="J43" s="3"/>
      <c r="K43" s="3" t="s">
        <v>264</v>
      </c>
      <c r="L43" s="5">
        <v>0</v>
      </c>
      <c r="M43" s="9">
        <v>44</v>
      </c>
      <c r="N43" s="10" t="s">
        <v>264</v>
      </c>
      <c r="O43" s="3" t="s">
        <v>264</v>
      </c>
      <c r="P43" s="3" t="s">
        <v>264</v>
      </c>
      <c r="Q43" s="11" t="s">
        <v>157</v>
      </c>
      <c r="R43" s="3" t="s">
        <v>264</v>
      </c>
      <c r="S43" s="12" t="s">
        <v>264</v>
      </c>
      <c r="T43" s="9" t="str">
        <f>VLOOKUP(A43,Listas!A$3:C$30,2,0)</f>
        <v>58201</v>
      </c>
      <c r="U43" s="3" t="s">
        <v>264</v>
      </c>
      <c r="V43" s="3" t="s">
        <v>264</v>
      </c>
      <c r="W43" s="5" t="s">
        <v>264</v>
      </c>
      <c r="X43" s="3" t="s">
        <v>264</v>
      </c>
      <c r="Y43" s="3" t="s">
        <v>264</v>
      </c>
    </row>
    <row r="44" spans="1:25" x14ac:dyDescent="0.2">
      <c r="A44" s="3" t="s">
        <v>109</v>
      </c>
      <c r="B44" s="3" t="str">
        <f>VLOOKUP(A44,Listas!A$3:C$30,3,0)</f>
        <v>Instituto Municipal de Mobilidade Urbana</v>
      </c>
      <c r="C44" s="11" t="s">
        <v>235</v>
      </c>
      <c r="D44" s="3" t="s">
        <v>188</v>
      </c>
      <c r="E44" s="3" t="s">
        <v>190</v>
      </c>
      <c r="F44" s="3"/>
      <c r="G44" s="3"/>
      <c r="H44" s="5"/>
      <c r="I44" s="5">
        <f t="shared" si="0"/>
        <v>0</v>
      </c>
      <c r="J44" s="3"/>
      <c r="K44" s="3" t="s">
        <v>264</v>
      </c>
      <c r="L44" s="5">
        <v>0</v>
      </c>
      <c r="M44" s="9">
        <v>45</v>
      </c>
      <c r="N44" s="10" t="s">
        <v>264</v>
      </c>
      <c r="O44" s="3" t="s">
        <v>264</v>
      </c>
      <c r="P44" s="3" t="s">
        <v>264</v>
      </c>
      <c r="Q44" s="11" t="s">
        <v>158</v>
      </c>
      <c r="R44" s="3" t="s">
        <v>264</v>
      </c>
      <c r="S44" s="12" t="s">
        <v>264</v>
      </c>
      <c r="T44" s="9" t="str">
        <f>VLOOKUP(A44,Listas!A$3:C$30,2,0)</f>
        <v>58201</v>
      </c>
      <c r="U44" s="3" t="s">
        <v>264</v>
      </c>
      <c r="V44" s="3" t="s">
        <v>264</v>
      </c>
      <c r="W44" s="5" t="s">
        <v>264</v>
      </c>
      <c r="X44" s="3" t="s">
        <v>264</v>
      </c>
      <c r="Y44" s="3" t="s">
        <v>264</v>
      </c>
    </row>
    <row r="45" spans="1:25" x14ac:dyDescent="0.2">
      <c r="A45" s="3" t="s">
        <v>109</v>
      </c>
      <c r="B45" s="3" t="str">
        <f>VLOOKUP(A45,Listas!A$3:C$30,3,0)</f>
        <v>Instituto Municipal de Mobilidade Urbana</v>
      </c>
      <c r="C45" s="11" t="s">
        <v>236</v>
      </c>
      <c r="D45" s="3" t="s">
        <v>184</v>
      </c>
      <c r="E45" s="3" t="s">
        <v>190</v>
      </c>
      <c r="F45" s="3"/>
      <c r="G45" s="3"/>
      <c r="H45" s="5"/>
      <c r="I45" s="5">
        <f t="shared" si="0"/>
        <v>0</v>
      </c>
      <c r="J45" s="3"/>
      <c r="K45" s="3" t="s">
        <v>264</v>
      </c>
      <c r="L45" s="5">
        <v>0</v>
      </c>
      <c r="M45" s="9">
        <v>46</v>
      </c>
      <c r="N45" s="10" t="s">
        <v>264</v>
      </c>
      <c r="O45" s="3" t="s">
        <v>264</v>
      </c>
      <c r="P45" s="3" t="s">
        <v>264</v>
      </c>
      <c r="Q45" s="11" t="s">
        <v>159</v>
      </c>
      <c r="R45" s="3" t="s">
        <v>264</v>
      </c>
      <c r="S45" s="12" t="s">
        <v>264</v>
      </c>
      <c r="T45" s="9" t="str">
        <f>VLOOKUP(A45,Listas!A$3:C$30,2,0)</f>
        <v>58201</v>
      </c>
      <c r="U45" s="3" t="s">
        <v>264</v>
      </c>
      <c r="V45" s="3" t="s">
        <v>264</v>
      </c>
      <c r="W45" s="5" t="s">
        <v>264</v>
      </c>
      <c r="X45" s="3" t="s">
        <v>264</v>
      </c>
      <c r="Y45" s="3" t="s">
        <v>264</v>
      </c>
    </row>
    <row r="46" spans="1:25" x14ac:dyDescent="0.2">
      <c r="A46" s="3" t="s">
        <v>109</v>
      </c>
      <c r="B46" s="3" t="str">
        <f>VLOOKUP(A46,Listas!A$3:C$30,3,0)</f>
        <v>Instituto Municipal de Mobilidade Urbana</v>
      </c>
      <c r="C46" s="11" t="s">
        <v>237</v>
      </c>
      <c r="D46" s="3" t="s">
        <v>184</v>
      </c>
      <c r="E46" s="3" t="s">
        <v>190</v>
      </c>
      <c r="F46" s="3"/>
      <c r="G46" s="3"/>
      <c r="H46" s="5"/>
      <c r="I46" s="5">
        <f t="shared" si="0"/>
        <v>0</v>
      </c>
      <c r="J46" s="3"/>
      <c r="K46" s="3" t="s">
        <v>264</v>
      </c>
      <c r="L46" s="5">
        <v>0</v>
      </c>
      <c r="M46" s="9">
        <v>47</v>
      </c>
      <c r="N46" s="10" t="s">
        <v>264</v>
      </c>
      <c r="O46" s="3" t="s">
        <v>264</v>
      </c>
      <c r="P46" s="3" t="s">
        <v>264</v>
      </c>
      <c r="Q46" s="11" t="s">
        <v>160</v>
      </c>
      <c r="R46" s="3" t="s">
        <v>264</v>
      </c>
      <c r="S46" s="12" t="s">
        <v>264</v>
      </c>
      <c r="T46" s="9" t="str">
        <f>VLOOKUP(A46,Listas!A$3:C$30,2,0)</f>
        <v>58201</v>
      </c>
      <c r="U46" s="3" t="s">
        <v>264</v>
      </c>
      <c r="V46" s="3" t="s">
        <v>264</v>
      </c>
      <c r="W46" s="5" t="s">
        <v>264</v>
      </c>
      <c r="X46" s="3" t="s">
        <v>264</v>
      </c>
      <c r="Y46" s="3" t="s">
        <v>264</v>
      </c>
    </row>
    <row r="47" spans="1:25" x14ac:dyDescent="0.2">
      <c r="A47" s="3" t="s">
        <v>109</v>
      </c>
      <c r="B47" s="3" t="str">
        <f>VLOOKUP(A47,Listas!A$3:C$30,3,0)</f>
        <v>Instituto Municipal de Mobilidade Urbana</v>
      </c>
      <c r="C47" s="11" t="s">
        <v>238</v>
      </c>
      <c r="D47" s="3" t="s">
        <v>184</v>
      </c>
      <c r="E47" s="3" t="s">
        <v>190</v>
      </c>
      <c r="F47" s="3"/>
      <c r="G47" s="3"/>
      <c r="H47" s="5"/>
      <c r="I47" s="5">
        <f t="shared" si="0"/>
        <v>0</v>
      </c>
      <c r="J47" s="3"/>
      <c r="K47" s="3" t="s">
        <v>264</v>
      </c>
      <c r="L47" s="5">
        <v>0</v>
      </c>
      <c r="M47" s="9">
        <v>48</v>
      </c>
      <c r="N47" s="10" t="s">
        <v>264</v>
      </c>
      <c r="O47" s="3" t="s">
        <v>264</v>
      </c>
      <c r="P47" s="3" t="s">
        <v>264</v>
      </c>
      <c r="Q47" s="11" t="s">
        <v>161</v>
      </c>
      <c r="R47" s="3" t="s">
        <v>264</v>
      </c>
      <c r="S47" s="12" t="s">
        <v>264</v>
      </c>
      <c r="T47" s="9" t="str">
        <f>VLOOKUP(A47,Listas!A$3:C$30,2,0)</f>
        <v>58201</v>
      </c>
      <c r="U47" s="3" t="s">
        <v>264</v>
      </c>
      <c r="V47" s="3" t="s">
        <v>264</v>
      </c>
      <c r="W47" s="5" t="s">
        <v>264</v>
      </c>
      <c r="X47" s="3" t="s">
        <v>264</v>
      </c>
      <c r="Y47" s="3" t="s">
        <v>264</v>
      </c>
    </row>
    <row r="48" spans="1:25" x14ac:dyDescent="0.2">
      <c r="A48" s="3" t="s">
        <v>109</v>
      </c>
      <c r="B48" s="3" t="str">
        <f>VLOOKUP(A48,Listas!A$3:C$30,3,0)</f>
        <v>Instituto Municipal de Mobilidade Urbana</v>
      </c>
      <c r="C48" s="11" t="s">
        <v>239</v>
      </c>
      <c r="D48" s="3" t="s">
        <v>184</v>
      </c>
      <c r="E48" s="3" t="s">
        <v>190</v>
      </c>
      <c r="F48" s="3"/>
      <c r="G48" s="3"/>
      <c r="H48" s="5"/>
      <c r="I48" s="5">
        <f t="shared" si="0"/>
        <v>0</v>
      </c>
      <c r="J48" s="3"/>
      <c r="K48" s="3" t="s">
        <v>264</v>
      </c>
      <c r="L48" s="5">
        <v>0</v>
      </c>
      <c r="M48" s="9">
        <v>49</v>
      </c>
      <c r="N48" s="10" t="s">
        <v>264</v>
      </c>
      <c r="O48" s="3" t="s">
        <v>264</v>
      </c>
      <c r="P48" s="3" t="s">
        <v>264</v>
      </c>
      <c r="Q48" s="11" t="s">
        <v>162</v>
      </c>
      <c r="R48" s="3" t="s">
        <v>264</v>
      </c>
      <c r="S48" s="12" t="s">
        <v>264</v>
      </c>
      <c r="T48" s="9" t="str">
        <f>VLOOKUP(A48,Listas!A$3:C$30,2,0)</f>
        <v>58201</v>
      </c>
      <c r="U48" s="3" t="s">
        <v>264</v>
      </c>
      <c r="V48" s="3" t="s">
        <v>264</v>
      </c>
      <c r="W48" s="5" t="s">
        <v>264</v>
      </c>
      <c r="X48" s="3" t="s">
        <v>264</v>
      </c>
      <c r="Y48" s="3" t="s">
        <v>264</v>
      </c>
    </row>
    <row r="49" spans="1:25" x14ac:dyDescent="0.2">
      <c r="A49" s="3" t="s">
        <v>109</v>
      </c>
      <c r="B49" s="3" t="str">
        <f>VLOOKUP(A49,Listas!A$3:C$30,3,0)</f>
        <v>Instituto Municipal de Mobilidade Urbana</v>
      </c>
      <c r="C49" s="11" t="s">
        <v>240</v>
      </c>
      <c r="D49" s="3" t="s">
        <v>184</v>
      </c>
      <c r="E49" s="3" t="s">
        <v>190</v>
      </c>
      <c r="F49" s="3"/>
      <c r="G49" s="3"/>
      <c r="H49" s="5"/>
      <c r="I49" s="5">
        <f t="shared" si="0"/>
        <v>0</v>
      </c>
      <c r="J49" s="3"/>
      <c r="K49" s="3" t="s">
        <v>264</v>
      </c>
      <c r="L49" s="5">
        <v>0</v>
      </c>
      <c r="M49" s="9">
        <v>50</v>
      </c>
      <c r="N49" s="10" t="s">
        <v>264</v>
      </c>
      <c r="O49" s="3" t="s">
        <v>264</v>
      </c>
      <c r="P49" s="3" t="s">
        <v>264</v>
      </c>
      <c r="Q49" s="11" t="s">
        <v>280</v>
      </c>
      <c r="R49" s="3" t="s">
        <v>264</v>
      </c>
      <c r="S49" s="12" t="s">
        <v>264</v>
      </c>
      <c r="T49" s="9" t="str">
        <f>VLOOKUP(A49,Listas!A$3:C$30,2,0)</f>
        <v>58201</v>
      </c>
      <c r="U49" s="3" t="s">
        <v>264</v>
      </c>
      <c r="V49" s="3" t="s">
        <v>264</v>
      </c>
      <c r="W49" s="5" t="s">
        <v>264</v>
      </c>
      <c r="X49" s="3" t="s">
        <v>264</v>
      </c>
      <c r="Y49" s="3" t="s">
        <v>264</v>
      </c>
    </row>
    <row r="50" spans="1:25" x14ac:dyDescent="0.2">
      <c r="A50" s="3" t="s">
        <v>109</v>
      </c>
      <c r="B50" s="3" t="str">
        <f>VLOOKUP(A50,Listas!A$3:C$30,3,0)</f>
        <v>Instituto Municipal de Mobilidade Urbana</v>
      </c>
      <c r="C50" s="11" t="s">
        <v>241</v>
      </c>
      <c r="D50" s="3" t="s">
        <v>184</v>
      </c>
      <c r="E50" s="3" t="s">
        <v>190</v>
      </c>
      <c r="F50" s="3"/>
      <c r="G50" s="3"/>
      <c r="H50" s="5"/>
      <c r="I50" s="5">
        <f t="shared" si="0"/>
        <v>0</v>
      </c>
      <c r="J50" s="3"/>
      <c r="K50" s="3" t="s">
        <v>264</v>
      </c>
      <c r="L50" s="5">
        <v>0</v>
      </c>
      <c r="M50" s="9">
        <v>51</v>
      </c>
      <c r="N50" s="10" t="s">
        <v>264</v>
      </c>
      <c r="O50" s="3" t="s">
        <v>264</v>
      </c>
      <c r="P50" s="3" t="s">
        <v>264</v>
      </c>
      <c r="Q50" s="11" t="s">
        <v>163</v>
      </c>
      <c r="R50" s="3" t="s">
        <v>264</v>
      </c>
      <c r="S50" s="12" t="s">
        <v>264</v>
      </c>
      <c r="T50" s="9" t="str">
        <f>VLOOKUP(A50,Listas!A$3:C$30,2,0)</f>
        <v>58201</v>
      </c>
      <c r="U50" s="3" t="s">
        <v>264</v>
      </c>
      <c r="V50" s="3" t="s">
        <v>264</v>
      </c>
      <c r="W50" s="5" t="s">
        <v>264</v>
      </c>
      <c r="X50" s="3" t="s">
        <v>264</v>
      </c>
      <c r="Y50" s="3" t="s">
        <v>264</v>
      </c>
    </row>
    <row r="51" spans="1:25" x14ac:dyDescent="0.2">
      <c r="A51" s="3" t="s">
        <v>109</v>
      </c>
      <c r="B51" s="3" t="str">
        <f>VLOOKUP(A51,Listas!A$3:C$30,3,0)</f>
        <v>Instituto Municipal de Mobilidade Urbana</v>
      </c>
      <c r="C51" s="11" t="s">
        <v>242</v>
      </c>
      <c r="D51" s="3" t="s">
        <v>184</v>
      </c>
      <c r="E51" s="3" t="s">
        <v>190</v>
      </c>
      <c r="F51" s="3"/>
      <c r="G51" s="3"/>
      <c r="H51" s="5"/>
      <c r="I51" s="5">
        <f t="shared" si="0"/>
        <v>0</v>
      </c>
      <c r="J51" s="3"/>
      <c r="K51" s="3" t="s">
        <v>264</v>
      </c>
      <c r="L51" s="5">
        <v>0</v>
      </c>
      <c r="M51" s="9">
        <v>52</v>
      </c>
      <c r="N51" s="10" t="s">
        <v>264</v>
      </c>
      <c r="O51" s="3" t="s">
        <v>264</v>
      </c>
      <c r="P51" s="3" t="s">
        <v>264</v>
      </c>
      <c r="Q51" s="11" t="s">
        <v>164</v>
      </c>
      <c r="R51" s="3" t="s">
        <v>264</v>
      </c>
      <c r="S51" s="12" t="s">
        <v>264</v>
      </c>
      <c r="T51" s="9" t="str">
        <f>VLOOKUP(A51,Listas!A$3:C$30,2,0)</f>
        <v>58201</v>
      </c>
      <c r="U51" s="3" t="s">
        <v>264</v>
      </c>
      <c r="V51" s="3" t="s">
        <v>264</v>
      </c>
      <c r="W51" s="5" t="s">
        <v>264</v>
      </c>
      <c r="X51" s="3" t="s">
        <v>264</v>
      </c>
      <c r="Y51" s="3" t="s">
        <v>264</v>
      </c>
    </row>
    <row r="52" spans="1:25" x14ac:dyDescent="0.2">
      <c r="A52" s="3" t="s">
        <v>109</v>
      </c>
      <c r="B52" s="3" t="str">
        <f>VLOOKUP(A52,Listas!A$3:C$30,3,0)</f>
        <v>Instituto Municipal de Mobilidade Urbana</v>
      </c>
      <c r="C52" s="11" t="s">
        <v>243</v>
      </c>
      <c r="D52" s="3" t="s">
        <v>184</v>
      </c>
      <c r="E52" s="3" t="s">
        <v>190</v>
      </c>
      <c r="F52" s="3"/>
      <c r="G52" s="3"/>
      <c r="H52" s="5"/>
      <c r="I52" s="5">
        <f t="shared" si="0"/>
        <v>0</v>
      </c>
      <c r="J52" s="3"/>
      <c r="K52" s="3" t="s">
        <v>264</v>
      </c>
      <c r="L52" s="5">
        <v>0</v>
      </c>
      <c r="M52" s="9">
        <v>53</v>
      </c>
      <c r="N52" s="10" t="s">
        <v>264</v>
      </c>
      <c r="O52" s="3" t="s">
        <v>264</v>
      </c>
      <c r="P52" s="3" t="s">
        <v>264</v>
      </c>
      <c r="Q52" s="11" t="s">
        <v>165</v>
      </c>
      <c r="R52" s="3" t="s">
        <v>264</v>
      </c>
      <c r="S52" s="12" t="s">
        <v>264</v>
      </c>
      <c r="T52" s="9" t="str">
        <f>VLOOKUP(A52,Listas!A$3:C$30,2,0)</f>
        <v>58201</v>
      </c>
      <c r="U52" s="3" t="s">
        <v>264</v>
      </c>
      <c r="V52" s="3" t="s">
        <v>264</v>
      </c>
      <c r="W52" s="5" t="s">
        <v>264</v>
      </c>
      <c r="X52" s="3" t="s">
        <v>264</v>
      </c>
      <c r="Y52" s="3" t="s">
        <v>264</v>
      </c>
    </row>
    <row r="53" spans="1:25" x14ac:dyDescent="0.2">
      <c r="A53" s="3" t="s">
        <v>109</v>
      </c>
      <c r="B53" s="3" t="str">
        <f>VLOOKUP(A53,Listas!A$3:C$30,3,0)</f>
        <v>Instituto Municipal de Mobilidade Urbana</v>
      </c>
      <c r="C53" s="11" t="s">
        <v>244</v>
      </c>
      <c r="D53" s="3" t="s">
        <v>184</v>
      </c>
      <c r="E53" s="3" t="s">
        <v>190</v>
      </c>
      <c r="F53" s="3"/>
      <c r="G53" s="3"/>
      <c r="H53" s="5"/>
      <c r="I53" s="5">
        <f t="shared" si="0"/>
        <v>0</v>
      </c>
      <c r="J53" s="3"/>
      <c r="K53" s="3" t="s">
        <v>264</v>
      </c>
      <c r="L53" s="5">
        <v>0</v>
      </c>
      <c r="M53" s="9">
        <v>54</v>
      </c>
      <c r="N53" s="10" t="s">
        <v>264</v>
      </c>
      <c r="O53" s="3" t="s">
        <v>264</v>
      </c>
      <c r="P53" s="3" t="s">
        <v>264</v>
      </c>
      <c r="Q53" s="11" t="s">
        <v>166</v>
      </c>
      <c r="R53" s="3" t="s">
        <v>264</v>
      </c>
      <c r="S53" s="12" t="s">
        <v>264</v>
      </c>
      <c r="T53" s="9" t="str">
        <f>VLOOKUP(A53,Listas!A$3:C$30,2,0)</f>
        <v>58201</v>
      </c>
      <c r="U53" s="3" t="s">
        <v>264</v>
      </c>
      <c r="V53" s="3" t="s">
        <v>264</v>
      </c>
      <c r="W53" s="5" t="s">
        <v>264</v>
      </c>
      <c r="X53" s="3" t="s">
        <v>264</v>
      </c>
      <c r="Y53" s="3" t="s">
        <v>264</v>
      </c>
    </row>
    <row r="54" spans="1:25" x14ac:dyDescent="0.2">
      <c r="A54" s="3" t="s">
        <v>109</v>
      </c>
      <c r="B54" s="3" t="str">
        <f>VLOOKUP(A54,Listas!A$3:C$30,3,0)</f>
        <v>Instituto Municipal de Mobilidade Urbana</v>
      </c>
      <c r="C54" s="11" t="s">
        <v>245</v>
      </c>
      <c r="D54" s="3" t="s">
        <v>186</v>
      </c>
      <c r="E54" s="3" t="s">
        <v>190</v>
      </c>
      <c r="F54" s="3"/>
      <c r="G54" s="3"/>
      <c r="H54" s="5"/>
      <c r="I54" s="5">
        <f t="shared" si="0"/>
        <v>0</v>
      </c>
      <c r="J54" s="3"/>
      <c r="K54" s="3" t="s">
        <v>264</v>
      </c>
      <c r="L54" s="5">
        <v>0</v>
      </c>
      <c r="M54" s="9">
        <v>55</v>
      </c>
      <c r="N54" s="10" t="s">
        <v>264</v>
      </c>
      <c r="O54" s="3" t="s">
        <v>264</v>
      </c>
      <c r="P54" s="3" t="s">
        <v>264</v>
      </c>
      <c r="Q54" s="11" t="s">
        <v>167</v>
      </c>
      <c r="R54" s="3" t="s">
        <v>264</v>
      </c>
      <c r="S54" s="12" t="s">
        <v>264</v>
      </c>
      <c r="T54" s="9" t="str">
        <f>VLOOKUP(A54,Listas!A$3:C$30,2,0)</f>
        <v>58201</v>
      </c>
      <c r="U54" s="3" t="s">
        <v>264</v>
      </c>
      <c r="V54" s="3" t="s">
        <v>264</v>
      </c>
      <c r="W54" s="5" t="s">
        <v>264</v>
      </c>
      <c r="X54" s="3" t="s">
        <v>264</v>
      </c>
      <c r="Y54" s="3" t="s">
        <v>264</v>
      </c>
    </row>
    <row r="55" spans="1:25" x14ac:dyDescent="0.2">
      <c r="A55" s="3" t="s">
        <v>109</v>
      </c>
      <c r="B55" s="3" t="str">
        <f>VLOOKUP(A55,Listas!A$3:C$30,3,0)</f>
        <v>Instituto Municipal de Mobilidade Urbana</v>
      </c>
      <c r="C55" s="11" t="s">
        <v>246</v>
      </c>
      <c r="D55" s="3" t="s">
        <v>186</v>
      </c>
      <c r="E55" s="3" t="s">
        <v>190</v>
      </c>
      <c r="F55" s="3"/>
      <c r="G55" s="3"/>
      <c r="H55" s="5"/>
      <c r="I55" s="5">
        <f t="shared" si="0"/>
        <v>0</v>
      </c>
      <c r="J55" s="3"/>
      <c r="K55" s="3" t="s">
        <v>264</v>
      </c>
      <c r="L55" s="5">
        <v>0</v>
      </c>
      <c r="M55" s="9">
        <v>56</v>
      </c>
      <c r="N55" s="10" t="s">
        <v>264</v>
      </c>
      <c r="O55" s="3" t="s">
        <v>264</v>
      </c>
      <c r="P55" s="3" t="s">
        <v>264</v>
      </c>
      <c r="Q55" s="11" t="s">
        <v>168</v>
      </c>
      <c r="R55" s="3" t="s">
        <v>264</v>
      </c>
      <c r="S55" s="12" t="s">
        <v>264</v>
      </c>
      <c r="T55" s="9" t="str">
        <f>VLOOKUP(A55,Listas!A$3:C$30,2,0)</f>
        <v>58201</v>
      </c>
      <c r="U55" s="3" t="s">
        <v>264</v>
      </c>
      <c r="V55" s="3" t="s">
        <v>264</v>
      </c>
      <c r="W55" s="5" t="s">
        <v>264</v>
      </c>
      <c r="X55" s="3" t="s">
        <v>264</v>
      </c>
      <c r="Y55" s="3" t="s">
        <v>264</v>
      </c>
    </row>
    <row r="56" spans="1:25" x14ac:dyDescent="0.2">
      <c r="A56" s="3" t="s">
        <v>109</v>
      </c>
      <c r="B56" s="3" t="str">
        <f>VLOOKUP(A56,Listas!A$3:C$30,3,0)</f>
        <v>Instituto Municipal de Mobilidade Urbana</v>
      </c>
      <c r="C56" s="11" t="s">
        <v>247</v>
      </c>
      <c r="D56" s="3" t="s">
        <v>186</v>
      </c>
      <c r="E56" s="3" t="s">
        <v>190</v>
      </c>
      <c r="F56" s="3"/>
      <c r="G56" s="3"/>
      <c r="H56" s="5"/>
      <c r="I56" s="5">
        <f t="shared" si="0"/>
        <v>0</v>
      </c>
      <c r="J56" s="3"/>
      <c r="K56" s="3" t="s">
        <v>264</v>
      </c>
      <c r="L56" s="5">
        <v>0</v>
      </c>
      <c r="M56" s="9">
        <v>57</v>
      </c>
      <c r="N56" s="10" t="s">
        <v>264</v>
      </c>
      <c r="O56" s="3" t="s">
        <v>264</v>
      </c>
      <c r="P56" s="3" t="s">
        <v>264</v>
      </c>
      <c r="Q56" s="11" t="s">
        <v>169</v>
      </c>
      <c r="R56" s="3" t="s">
        <v>264</v>
      </c>
      <c r="S56" s="12" t="s">
        <v>264</v>
      </c>
      <c r="T56" s="9" t="str">
        <f>VLOOKUP(A56,Listas!A$3:C$30,2,0)</f>
        <v>58201</v>
      </c>
      <c r="U56" s="3" t="s">
        <v>264</v>
      </c>
      <c r="V56" s="3" t="s">
        <v>264</v>
      </c>
      <c r="W56" s="5" t="s">
        <v>264</v>
      </c>
      <c r="X56" s="3" t="s">
        <v>264</v>
      </c>
      <c r="Y56" s="3" t="s">
        <v>264</v>
      </c>
    </row>
    <row r="57" spans="1:25" x14ac:dyDescent="0.2">
      <c r="A57" s="3" t="s">
        <v>109</v>
      </c>
      <c r="B57" s="3" t="str">
        <f>VLOOKUP(A57,Listas!A$3:C$30,3,0)</f>
        <v>Instituto Municipal de Mobilidade Urbana</v>
      </c>
      <c r="C57" s="11" t="s">
        <v>248</v>
      </c>
      <c r="D57" s="3" t="s">
        <v>186</v>
      </c>
      <c r="E57" s="3" t="s">
        <v>190</v>
      </c>
      <c r="F57" s="3"/>
      <c r="G57" s="3"/>
      <c r="H57" s="5"/>
      <c r="I57" s="5">
        <f t="shared" si="0"/>
        <v>0</v>
      </c>
      <c r="J57" s="3"/>
      <c r="K57" s="3" t="s">
        <v>264</v>
      </c>
      <c r="L57" s="5">
        <v>0</v>
      </c>
      <c r="M57" s="9">
        <v>58</v>
      </c>
      <c r="N57" s="10" t="s">
        <v>264</v>
      </c>
      <c r="O57" s="3" t="s">
        <v>264</v>
      </c>
      <c r="P57" s="3" t="s">
        <v>264</v>
      </c>
      <c r="Q57" s="11" t="s">
        <v>170</v>
      </c>
      <c r="R57" s="3" t="s">
        <v>264</v>
      </c>
      <c r="S57" s="12" t="s">
        <v>264</v>
      </c>
      <c r="T57" s="9" t="str">
        <f>VLOOKUP(A57,Listas!A$3:C$30,2,0)</f>
        <v>58201</v>
      </c>
      <c r="U57" s="3" t="s">
        <v>264</v>
      </c>
      <c r="V57" s="3" t="s">
        <v>264</v>
      </c>
      <c r="W57" s="5" t="s">
        <v>264</v>
      </c>
      <c r="X57" s="3" t="s">
        <v>264</v>
      </c>
      <c r="Y57" s="3" t="s">
        <v>264</v>
      </c>
    </row>
    <row r="58" spans="1:25" x14ac:dyDescent="0.2">
      <c r="A58" s="3" t="s">
        <v>109</v>
      </c>
      <c r="B58" s="3" t="str">
        <f>VLOOKUP(A58,Listas!A$3:C$30,3,0)</f>
        <v>Instituto Municipal de Mobilidade Urbana</v>
      </c>
      <c r="C58" s="11" t="s">
        <v>249</v>
      </c>
      <c r="D58" s="3" t="s">
        <v>183</v>
      </c>
      <c r="E58" s="3" t="s">
        <v>193</v>
      </c>
      <c r="F58" s="3"/>
      <c r="G58" s="3"/>
      <c r="H58" s="5"/>
      <c r="I58" s="5">
        <f t="shared" si="0"/>
        <v>0</v>
      </c>
      <c r="J58" s="3"/>
      <c r="K58" s="3" t="s">
        <v>264</v>
      </c>
      <c r="L58" s="5">
        <v>0</v>
      </c>
      <c r="M58" s="9">
        <v>59</v>
      </c>
      <c r="N58" s="10" t="s">
        <v>264</v>
      </c>
      <c r="O58" s="3" t="s">
        <v>264</v>
      </c>
      <c r="P58" s="3" t="s">
        <v>264</v>
      </c>
      <c r="Q58" s="11" t="s">
        <v>171</v>
      </c>
      <c r="R58" s="3" t="s">
        <v>264</v>
      </c>
      <c r="S58" s="12" t="s">
        <v>264</v>
      </c>
      <c r="T58" s="9" t="str">
        <f>VLOOKUP(A58,Listas!A$3:C$30,2,0)</f>
        <v>58201</v>
      </c>
      <c r="U58" s="3" t="s">
        <v>264</v>
      </c>
      <c r="V58" s="3" t="s">
        <v>264</v>
      </c>
      <c r="W58" s="5" t="s">
        <v>264</v>
      </c>
      <c r="X58" s="3" t="s">
        <v>264</v>
      </c>
      <c r="Y58" s="3" t="s">
        <v>264</v>
      </c>
    </row>
    <row r="59" spans="1:25" x14ac:dyDescent="0.2">
      <c r="A59" s="3" t="s">
        <v>109</v>
      </c>
      <c r="B59" s="3" t="str">
        <f>VLOOKUP(A59,Listas!A$3:C$30,3,0)</f>
        <v>Instituto Municipal de Mobilidade Urbana</v>
      </c>
      <c r="C59" s="11" t="s">
        <v>250</v>
      </c>
      <c r="D59" s="3" t="s">
        <v>183</v>
      </c>
      <c r="E59" s="3" t="s">
        <v>193</v>
      </c>
      <c r="F59" s="3"/>
      <c r="G59" s="3"/>
      <c r="H59" s="5"/>
      <c r="I59" s="5">
        <f t="shared" si="0"/>
        <v>0</v>
      </c>
      <c r="J59" s="3"/>
      <c r="K59" s="3" t="s">
        <v>264</v>
      </c>
      <c r="L59" s="5">
        <v>0</v>
      </c>
      <c r="M59" s="9">
        <v>60</v>
      </c>
      <c r="N59" s="10" t="s">
        <v>264</v>
      </c>
      <c r="O59" s="3" t="s">
        <v>264</v>
      </c>
      <c r="P59" s="3" t="s">
        <v>264</v>
      </c>
      <c r="Q59" s="11" t="s">
        <v>172</v>
      </c>
      <c r="R59" s="3" t="s">
        <v>264</v>
      </c>
      <c r="S59" s="12" t="s">
        <v>264</v>
      </c>
      <c r="T59" s="9" t="str">
        <f>VLOOKUP(A59,Listas!A$3:C$30,2,0)</f>
        <v>58201</v>
      </c>
      <c r="U59" s="3" t="s">
        <v>264</v>
      </c>
      <c r="V59" s="3" t="s">
        <v>264</v>
      </c>
      <c r="W59" s="5" t="s">
        <v>264</v>
      </c>
      <c r="X59" s="3" t="s">
        <v>264</v>
      </c>
      <c r="Y59" s="3" t="s">
        <v>264</v>
      </c>
    </row>
    <row r="60" spans="1:25" x14ac:dyDescent="0.2">
      <c r="A60" s="3" t="s">
        <v>109</v>
      </c>
      <c r="B60" s="3" t="str">
        <f>VLOOKUP(A60,Listas!A$3:C$30,3,0)</f>
        <v>Instituto Municipal de Mobilidade Urbana</v>
      </c>
      <c r="C60" s="11" t="s">
        <v>251</v>
      </c>
      <c r="D60" s="3" t="s">
        <v>185</v>
      </c>
      <c r="E60" s="3" t="s">
        <v>193</v>
      </c>
      <c r="F60" s="3"/>
      <c r="G60" s="3"/>
      <c r="H60" s="5"/>
      <c r="I60" s="5">
        <f t="shared" si="0"/>
        <v>0</v>
      </c>
      <c r="J60" s="3"/>
      <c r="K60" s="3" t="s">
        <v>264</v>
      </c>
      <c r="L60" s="5">
        <v>0</v>
      </c>
      <c r="M60" s="9">
        <v>61</v>
      </c>
      <c r="N60" s="10" t="s">
        <v>264</v>
      </c>
      <c r="O60" s="3" t="s">
        <v>264</v>
      </c>
      <c r="P60" s="3" t="s">
        <v>264</v>
      </c>
      <c r="Q60" s="11" t="s">
        <v>173</v>
      </c>
      <c r="R60" s="3" t="s">
        <v>264</v>
      </c>
      <c r="S60" s="12" t="s">
        <v>264</v>
      </c>
      <c r="T60" s="9" t="str">
        <f>VLOOKUP(A60,Listas!A$3:C$30,2,0)</f>
        <v>58201</v>
      </c>
      <c r="U60" s="3" t="s">
        <v>264</v>
      </c>
      <c r="V60" s="3" t="s">
        <v>264</v>
      </c>
      <c r="W60" s="5" t="s">
        <v>264</v>
      </c>
      <c r="X60" s="3" t="s">
        <v>264</v>
      </c>
      <c r="Y60" s="3" t="s">
        <v>264</v>
      </c>
    </row>
    <row r="61" spans="1:25" x14ac:dyDescent="0.2">
      <c r="A61" s="3" t="s">
        <v>109</v>
      </c>
      <c r="B61" s="3" t="str">
        <f>VLOOKUP(A61,Listas!A$3:C$30,3,0)</f>
        <v>Instituto Municipal de Mobilidade Urbana</v>
      </c>
      <c r="C61" s="11" t="s">
        <v>252</v>
      </c>
      <c r="D61" s="3" t="s">
        <v>188</v>
      </c>
      <c r="E61" s="3" t="s">
        <v>193</v>
      </c>
      <c r="F61" s="3"/>
      <c r="G61" s="3"/>
      <c r="H61" s="5"/>
      <c r="I61" s="5">
        <f t="shared" si="0"/>
        <v>0</v>
      </c>
      <c r="J61" s="3"/>
      <c r="K61" s="3" t="s">
        <v>264</v>
      </c>
      <c r="L61" s="5">
        <v>0</v>
      </c>
      <c r="M61" s="9">
        <v>62</v>
      </c>
      <c r="N61" s="10" t="s">
        <v>264</v>
      </c>
      <c r="O61" s="3" t="s">
        <v>264</v>
      </c>
      <c r="P61" s="3" t="s">
        <v>264</v>
      </c>
      <c r="Q61" s="11" t="s">
        <v>174</v>
      </c>
      <c r="R61" s="3" t="s">
        <v>264</v>
      </c>
      <c r="S61" s="12" t="s">
        <v>264</v>
      </c>
      <c r="T61" s="9" t="str">
        <f>VLOOKUP(A61,Listas!A$3:C$30,2,0)</f>
        <v>58201</v>
      </c>
      <c r="U61" s="3" t="s">
        <v>264</v>
      </c>
      <c r="V61" s="3" t="s">
        <v>264</v>
      </c>
      <c r="W61" s="5" t="s">
        <v>264</v>
      </c>
      <c r="X61" s="3" t="s">
        <v>264</v>
      </c>
      <c r="Y61" s="3" t="s">
        <v>264</v>
      </c>
    </row>
    <row r="62" spans="1:25" x14ac:dyDescent="0.2">
      <c r="A62" s="3" t="s">
        <v>109</v>
      </c>
      <c r="B62" s="3" t="str">
        <f>VLOOKUP(A62,Listas!A$3:C$30,3,0)</f>
        <v>Instituto Municipal de Mobilidade Urbana</v>
      </c>
      <c r="C62" s="11" t="s">
        <v>253</v>
      </c>
      <c r="D62" s="3" t="s">
        <v>188</v>
      </c>
      <c r="E62" s="3" t="s">
        <v>193</v>
      </c>
      <c r="F62" s="3"/>
      <c r="G62" s="3"/>
      <c r="H62" s="5"/>
      <c r="I62" s="5">
        <f t="shared" si="0"/>
        <v>0</v>
      </c>
      <c r="J62" s="3"/>
      <c r="K62" s="3" t="s">
        <v>264</v>
      </c>
      <c r="L62" s="5">
        <v>0</v>
      </c>
      <c r="M62" s="9">
        <v>63</v>
      </c>
      <c r="N62" s="10" t="s">
        <v>264</v>
      </c>
      <c r="O62" s="3" t="s">
        <v>264</v>
      </c>
      <c r="P62" s="3" t="s">
        <v>264</v>
      </c>
      <c r="Q62" s="11" t="s">
        <v>281</v>
      </c>
      <c r="R62" s="3" t="s">
        <v>264</v>
      </c>
      <c r="S62" s="12" t="s">
        <v>264</v>
      </c>
      <c r="T62" s="9" t="str">
        <f>VLOOKUP(A62,Listas!A$3:C$30,2,0)</f>
        <v>58201</v>
      </c>
      <c r="U62" s="3" t="s">
        <v>264</v>
      </c>
      <c r="V62" s="3" t="s">
        <v>264</v>
      </c>
      <c r="W62" s="5" t="s">
        <v>264</v>
      </c>
      <c r="X62" s="3" t="s">
        <v>264</v>
      </c>
      <c r="Y62" s="3" t="s">
        <v>264</v>
      </c>
    </row>
    <row r="63" spans="1:25" x14ac:dyDescent="0.2">
      <c r="A63" s="3" t="s">
        <v>109</v>
      </c>
      <c r="B63" s="3" t="str">
        <f>VLOOKUP(A63,Listas!A$3:C$30,3,0)</f>
        <v>Instituto Municipal de Mobilidade Urbana</v>
      </c>
      <c r="C63" s="11" t="s">
        <v>254</v>
      </c>
      <c r="D63" s="3" t="s">
        <v>186</v>
      </c>
      <c r="E63" s="3" t="s">
        <v>193</v>
      </c>
      <c r="F63" s="3"/>
      <c r="G63" s="3"/>
      <c r="H63" s="5"/>
      <c r="I63" s="5">
        <f t="shared" si="0"/>
        <v>0</v>
      </c>
      <c r="J63" s="3"/>
      <c r="K63" s="3" t="s">
        <v>264</v>
      </c>
      <c r="L63" s="5">
        <v>0</v>
      </c>
      <c r="M63" s="9">
        <v>64</v>
      </c>
      <c r="N63" s="10" t="s">
        <v>264</v>
      </c>
      <c r="O63" s="3" t="s">
        <v>264</v>
      </c>
      <c r="P63" s="3" t="s">
        <v>264</v>
      </c>
      <c r="Q63" s="11" t="s">
        <v>175</v>
      </c>
      <c r="R63" s="3" t="s">
        <v>264</v>
      </c>
      <c r="S63" s="12" t="s">
        <v>264</v>
      </c>
      <c r="T63" s="9" t="str">
        <f>VLOOKUP(A63,Listas!A$3:C$30,2,0)</f>
        <v>58201</v>
      </c>
      <c r="U63" s="3" t="s">
        <v>264</v>
      </c>
      <c r="V63" s="3" t="s">
        <v>264</v>
      </c>
      <c r="W63" s="5" t="s">
        <v>264</v>
      </c>
      <c r="X63" s="3" t="s">
        <v>264</v>
      </c>
      <c r="Y63" s="3" t="s">
        <v>264</v>
      </c>
    </row>
    <row r="64" spans="1:25" x14ac:dyDescent="0.2">
      <c r="A64" s="3" t="s">
        <v>109</v>
      </c>
      <c r="B64" s="3" t="str">
        <f>VLOOKUP(A64,Listas!A$3:C$30,3,0)</f>
        <v>Instituto Municipal de Mobilidade Urbana</v>
      </c>
      <c r="C64" s="11" t="s">
        <v>255</v>
      </c>
      <c r="D64" s="3" t="s">
        <v>186</v>
      </c>
      <c r="E64" s="3" t="s">
        <v>193</v>
      </c>
      <c r="F64" s="3"/>
      <c r="G64" s="3"/>
      <c r="H64" s="5"/>
      <c r="I64" s="5">
        <f t="shared" ref="I64:I71" si="1">H64+L64</f>
        <v>0</v>
      </c>
      <c r="J64" s="3"/>
      <c r="K64" s="3" t="s">
        <v>264</v>
      </c>
      <c r="L64" s="5">
        <v>0</v>
      </c>
      <c r="M64" s="9">
        <v>65</v>
      </c>
      <c r="N64" s="10" t="s">
        <v>264</v>
      </c>
      <c r="O64" s="3" t="s">
        <v>264</v>
      </c>
      <c r="P64" s="3" t="s">
        <v>264</v>
      </c>
      <c r="Q64" s="11" t="s">
        <v>176</v>
      </c>
      <c r="R64" s="3" t="s">
        <v>264</v>
      </c>
      <c r="S64" s="12" t="s">
        <v>264</v>
      </c>
      <c r="T64" s="9" t="str">
        <f>VLOOKUP(A64,Listas!A$3:C$30,2,0)</f>
        <v>58201</v>
      </c>
      <c r="U64" s="3" t="s">
        <v>264</v>
      </c>
      <c r="V64" s="3" t="s">
        <v>264</v>
      </c>
      <c r="W64" s="5" t="s">
        <v>264</v>
      </c>
      <c r="X64" s="3" t="s">
        <v>264</v>
      </c>
      <c r="Y64" s="3" t="s">
        <v>264</v>
      </c>
    </row>
    <row r="65" spans="1:25" x14ac:dyDescent="0.2">
      <c r="A65" s="3" t="s">
        <v>109</v>
      </c>
      <c r="B65" s="3" t="str">
        <f>VLOOKUP(A65,Listas!A$3:C$30,3,0)</f>
        <v>Instituto Municipal de Mobilidade Urbana</v>
      </c>
      <c r="C65" s="11" t="s">
        <v>256</v>
      </c>
      <c r="D65" s="3" t="s">
        <v>184</v>
      </c>
      <c r="E65" s="3" t="s">
        <v>193</v>
      </c>
      <c r="F65" s="3"/>
      <c r="G65" s="3"/>
      <c r="H65" s="5"/>
      <c r="I65" s="5">
        <f t="shared" si="1"/>
        <v>0</v>
      </c>
      <c r="J65" s="3"/>
      <c r="K65" s="3" t="s">
        <v>264</v>
      </c>
      <c r="L65" s="5">
        <v>0</v>
      </c>
      <c r="M65" s="9">
        <v>66</v>
      </c>
      <c r="N65" s="10" t="s">
        <v>264</v>
      </c>
      <c r="O65" s="3" t="s">
        <v>264</v>
      </c>
      <c r="P65" s="3" t="s">
        <v>264</v>
      </c>
      <c r="Q65" s="11" t="s">
        <v>177</v>
      </c>
      <c r="R65" s="3" t="s">
        <v>264</v>
      </c>
      <c r="S65" s="12" t="s">
        <v>264</v>
      </c>
      <c r="T65" s="9" t="str">
        <f>VLOOKUP(A65,Listas!A$3:C$30,2,0)</f>
        <v>58201</v>
      </c>
      <c r="U65" s="3" t="s">
        <v>264</v>
      </c>
      <c r="V65" s="3" t="s">
        <v>264</v>
      </c>
      <c r="W65" s="5" t="s">
        <v>264</v>
      </c>
      <c r="X65" s="3" t="s">
        <v>264</v>
      </c>
      <c r="Y65" s="3" t="s">
        <v>264</v>
      </c>
    </row>
    <row r="66" spans="1:25" x14ac:dyDescent="0.2">
      <c r="A66" s="3" t="s">
        <v>109</v>
      </c>
      <c r="B66" s="3" t="str">
        <f>VLOOKUP(A66,Listas!A$3:C$30,3,0)</f>
        <v>Instituto Municipal de Mobilidade Urbana</v>
      </c>
      <c r="C66" s="11" t="s">
        <v>257</v>
      </c>
      <c r="D66" s="3" t="s">
        <v>185</v>
      </c>
      <c r="E66" s="3" t="s">
        <v>193</v>
      </c>
      <c r="F66" s="3"/>
      <c r="G66" s="3"/>
      <c r="H66" s="5"/>
      <c r="I66" s="5">
        <f t="shared" si="1"/>
        <v>0</v>
      </c>
      <c r="J66" s="3"/>
      <c r="K66" s="3" t="s">
        <v>264</v>
      </c>
      <c r="L66" s="5">
        <v>0</v>
      </c>
      <c r="M66" s="9">
        <v>67</v>
      </c>
      <c r="N66" s="10" t="s">
        <v>264</v>
      </c>
      <c r="O66" s="3" t="s">
        <v>264</v>
      </c>
      <c r="P66" s="3" t="s">
        <v>264</v>
      </c>
      <c r="Q66" s="11" t="s">
        <v>178</v>
      </c>
      <c r="R66" s="3" t="s">
        <v>264</v>
      </c>
      <c r="S66" s="12" t="s">
        <v>264</v>
      </c>
      <c r="T66" s="9" t="str">
        <f>VLOOKUP(A66,Listas!A$3:C$30,2,0)</f>
        <v>58201</v>
      </c>
      <c r="U66" s="3" t="s">
        <v>264</v>
      </c>
      <c r="V66" s="3" t="s">
        <v>264</v>
      </c>
      <c r="W66" s="5" t="s">
        <v>264</v>
      </c>
      <c r="X66" s="3" t="s">
        <v>264</v>
      </c>
      <c r="Y66" s="3" t="s">
        <v>264</v>
      </c>
    </row>
    <row r="67" spans="1:25" x14ac:dyDescent="0.2">
      <c r="A67" s="3" t="s">
        <v>109</v>
      </c>
      <c r="B67" s="3" t="str">
        <f>VLOOKUP(A67,Listas!A$3:C$30,3,0)</f>
        <v>Instituto Municipal de Mobilidade Urbana</v>
      </c>
      <c r="C67" s="11" t="s">
        <v>258</v>
      </c>
      <c r="D67" s="3" t="s">
        <v>185</v>
      </c>
      <c r="E67" s="3" t="s">
        <v>193</v>
      </c>
      <c r="F67" s="3"/>
      <c r="G67" s="3"/>
      <c r="H67" s="5"/>
      <c r="I67" s="5">
        <f t="shared" si="1"/>
        <v>0</v>
      </c>
      <c r="J67" s="3"/>
      <c r="K67" s="3" t="s">
        <v>264</v>
      </c>
      <c r="L67" s="5">
        <v>0</v>
      </c>
      <c r="M67" s="9">
        <v>68</v>
      </c>
      <c r="N67" s="10" t="s">
        <v>264</v>
      </c>
      <c r="O67" s="3" t="s">
        <v>264</v>
      </c>
      <c r="P67" s="3" t="s">
        <v>264</v>
      </c>
      <c r="Q67" s="11" t="s">
        <v>282</v>
      </c>
      <c r="R67" s="3" t="s">
        <v>264</v>
      </c>
      <c r="S67" s="12" t="s">
        <v>264</v>
      </c>
      <c r="T67" s="9" t="str">
        <f>VLOOKUP(A67,Listas!A$3:C$30,2,0)</f>
        <v>58201</v>
      </c>
      <c r="U67" s="3" t="s">
        <v>264</v>
      </c>
      <c r="V67" s="3" t="s">
        <v>264</v>
      </c>
      <c r="W67" s="5" t="s">
        <v>264</v>
      </c>
      <c r="X67" s="3" t="s">
        <v>264</v>
      </c>
      <c r="Y67" s="3" t="s">
        <v>264</v>
      </c>
    </row>
    <row r="68" spans="1:25" x14ac:dyDescent="0.2">
      <c r="A68" s="3" t="s">
        <v>109</v>
      </c>
      <c r="B68" s="3" t="str">
        <f>VLOOKUP(A68,Listas!A$3:C$30,3,0)</f>
        <v>Instituto Municipal de Mobilidade Urbana</v>
      </c>
      <c r="C68" s="11" t="s">
        <v>259</v>
      </c>
      <c r="D68" s="3" t="s">
        <v>184</v>
      </c>
      <c r="E68" s="3" t="s">
        <v>193</v>
      </c>
      <c r="F68" s="3"/>
      <c r="G68" s="3"/>
      <c r="H68" s="5"/>
      <c r="I68" s="5">
        <f t="shared" si="1"/>
        <v>0</v>
      </c>
      <c r="J68" s="3"/>
      <c r="K68" s="3" t="s">
        <v>264</v>
      </c>
      <c r="L68" s="5">
        <v>0</v>
      </c>
      <c r="M68" s="9">
        <v>69</v>
      </c>
      <c r="N68" s="10" t="s">
        <v>264</v>
      </c>
      <c r="O68" s="3" t="s">
        <v>264</v>
      </c>
      <c r="P68" s="3" t="s">
        <v>264</v>
      </c>
      <c r="Q68" s="11" t="s">
        <v>179</v>
      </c>
      <c r="R68" s="3" t="s">
        <v>264</v>
      </c>
      <c r="S68" s="12" t="s">
        <v>264</v>
      </c>
      <c r="T68" s="9" t="str">
        <f>VLOOKUP(A68,Listas!A$3:C$30,2,0)</f>
        <v>58201</v>
      </c>
      <c r="U68" s="3" t="s">
        <v>264</v>
      </c>
      <c r="V68" s="3" t="s">
        <v>264</v>
      </c>
      <c r="W68" s="5" t="s">
        <v>264</v>
      </c>
      <c r="X68" s="3" t="s">
        <v>264</v>
      </c>
      <c r="Y68" s="3" t="s">
        <v>264</v>
      </c>
    </row>
    <row r="69" spans="1:25" x14ac:dyDescent="0.2">
      <c r="A69" s="3" t="s">
        <v>109</v>
      </c>
      <c r="B69" s="3" t="str">
        <f>VLOOKUP(A69,Listas!A$3:C$30,3,0)</f>
        <v>Instituto Municipal de Mobilidade Urbana</v>
      </c>
      <c r="C69" s="11" t="s">
        <v>260</v>
      </c>
      <c r="D69" s="3" t="s">
        <v>184</v>
      </c>
      <c r="E69" s="3" t="s">
        <v>193</v>
      </c>
      <c r="F69" s="3"/>
      <c r="G69" s="3"/>
      <c r="H69" s="5"/>
      <c r="I69" s="5">
        <f t="shared" si="1"/>
        <v>0</v>
      </c>
      <c r="J69" s="3"/>
      <c r="K69" s="3" t="s">
        <v>264</v>
      </c>
      <c r="L69" s="5">
        <v>0</v>
      </c>
      <c r="M69" s="9">
        <v>70</v>
      </c>
      <c r="N69" s="10" t="s">
        <v>264</v>
      </c>
      <c r="O69" s="3" t="s">
        <v>264</v>
      </c>
      <c r="P69" s="3" t="s">
        <v>264</v>
      </c>
      <c r="Q69" s="11" t="s">
        <v>180</v>
      </c>
      <c r="R69" s="3" t="s">
        <v>264</v>
      </c>
      <c r="S69" s="12" t="s">
        <v>264</v>
      </c>
      <c r="T69" s="9" t="str">
        <f>VLOOKUP(A69,Listas!A$3:C$30,2,0)</f>
        <v>58201</v>
      </c>
      <c r="U69" s="3" t="s">
        <v>264</v>
      </c>
      <c r="V69" s="3" t="s">
        <v>264</v>
      </c>
      <c r="W69" s="5" t="s">
        <v>264</v>
      </c>
      <c r="X69" s="3" t="s">
        <v>264</v>
      </c>
      <c r="Y69" s="3" t="s">
        <v>264</v>
      </c>
    </row>
    <row r="70" spans="1:25" x14ac:dyDescent="0.2">
      <c r="A70" s="3" t="s">
        <v>109</v>
      </c>
      <c r="B70" s="3" t="str">
        <f>VLOOKUP(A70,Listas!A$3:C$30,3,0)</f>
        <v>Instituto Municipal de Mobilidade Urbana</v>
      </c>
      <c r="C70" s="11" t="s">
        <v>261</v>
      </c>
      <c r="D70" s="3" t="s">
        <v>184</v>
      </c>
      <c r="E70" s="3" t="s">
        <v>193</v>
      </c>
      <c r="F70" s="3"/>
      <c r="G70" s="3"/>
      <c r="H70" s="5"/>
      <c r="I70" s="5">
        <f t="shared" si="1"/>
        <v>0</v>
      </c>
      <c r="J70" s="3"/>
      <c r="K70" s="3" t="s">
        <v>264</v>
      </c>
      <c r="L70" s="5">
        <v>0</v>
      </c>
      <c r="M70" s="9">
        <v>71</v>
      </c>
      <c r="N70" s="10" t="s">
        <v>264</v>
      </c>
      <c r="O70" s="3" t="s">
        <v>264</v>
      </c>
      <c r="P70" s="3" t="s">
        <v>264</v>
      </c>
      <c r="Q70" s="11" t="s">
        <v>181</v>
      </c>
      <c r="R70" s="3" t="s">
        <v>264</v>
      </c>
      <c r="S70" s="12" t="s">
        <v>264</v>
      </c>
      <c r="T70" s="9" t="str">
        <f>VLOOKUP(A70,Listas!A$3:C$30,2,0)</f>
        <v>58201</v>
      </c>
      <c r="U70" s="3" t="s">
        <v>264</v>
      </c>
      <c r="V70" s="3" t="s">
        <v>264</v>
      </c>
      <c r="W70" s="5" t="s">
        <v>264</v>
      </c>
      <c r="X70" s="3" t="s">
        <v>264</v>
      </c>
      <c r="Y70" s="3" t="s">
        <v>264</v>
      </c>
    </row>
    <row r="71" spans="1:25" x14ac:dyDescent="0.2">
      <c r="A71" s="3" t="s">
        <v>109</v>
      </c>
      <c r="B71" s="3" t="str">
        <f>VLOOKUP(A71,Listas!A$3:C$30,3,0)</f>
        <v>Instituto Municipal de Mobilidade Urbana</v>
      </c>
      <c r="C71" s="11" t="s">
        <v>262</v>
      </c>
      <c r="D71" s="3" t="s">
        <v>184</v>
      </c>
      <c r="E71" s="3" t="s">
        <v>193</v>
      </c>
      <c r="F71" s="3"/>
      <c r="G71" s="3"/>
      <c r="H71" s="5"/>
      <c r="I71" s="5">
        <f t="shared" si="1"/>
        <v>0</v>
      </c>
      <c r="J71" s="3"/>
      <c r="K71" s="3" t="s">
        <v>264</v>
      </c>
      <c r="L71" s="5">
        <v>0</v>
      </c>
      <c r="M71" s="9">
        <v>72</v>
      </c>
      <c r="N71" s="10" t="s">
        <v>264</v>
      </c>
      <c r="O71" s="3" t="s">
        <v>264</v>
      </c>
      <c r="P71" s="3" t="s">
        <v>264</v>
      </c>
      <c r="Q71" s="11" t="s">
        <v>283</v>
      </c>
      <c r="R71" s="3" t="s">
        <v>264</v>
      </c>
      <c r="S71" s="12" t="s">
        <v>264</v>
      </c>
      <c r="T71" s="9" t="str">
        <f>VLOOKUP(A71,Listas!A$3:C$30,2,0)</f>
        <v>58201</v>
      </c>
      <c r="U71" s="3" t="s">
        <v>264</v>
      </c>
      <c r="V71" s="3" t="s">
        <v>264</v>
      </c>
      <c r="W71" s="5" t="s">
        <v>264</v>
      </c>
      <c r="X71" s="3" t="s">
        <v>264</v>
      </c>
      <c r="Y71" s="3" t="s">
        <v>264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S4:S71</xm:sqref>
        </x14:dataValidation>
        <x14:dataValidation type="list" allowBlank="1" showInputMessage="1" showErrorMessage="1">
          <x14:formula1>
            <xm:f>Listas!$D$3:$D$8</xm:f>
          </x14:formula1>
          <xm:sqref>P4:P71</xm:sqref>
        </x14:dataValidation>
        <x14:dataValidation type="list" allowBlank="1" showInputMessage="1" showErrorMessage="1">
          <x14:formula1>
            <xm:f>Listas!$E$3:$E$10</xm:f>
          </x14:formula1>
          <xm:sqref>D4:D71</xm:sqref>
        </x14:dataValidation>
        <x14:dataValidation type="list" allowBlank="1" showInputMessage="1" showErrorMessage="1">
          <x14:formula1>
            <xm:f>Listas!$A$3:$A$30</xm:f>
          </x14:formula1>
          <xm:sqref>A4:A71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182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264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264</v>
      </c>
      <c r="G8" s="6" t="s">
        <v>264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194</v>
      </c>
      <c r="B27" s="6" t="s">
        <v>195</v>
      </c>
      <c r="C27" s="6" t="s">
        <v>196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Saryta Garcez Farias Silva</cp:lastModifiedBy>
  <dcterms:created xsi:type="dcterms:W3CDTF">2026-01-27T14:50:04Z</dcterms:created>
  <dcterms:modified xsi:type="dcterms:W3CDTF">2026-04-29T12:55:52Z</dcterms:modified>
</cp:coreProperties>
</file>