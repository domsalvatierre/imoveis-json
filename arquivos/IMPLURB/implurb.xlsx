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330727204\Documents\DPAT\imoveis\TCE\TCE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Imóveis'!$B$2:$Q$3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D3" i="1"/>
</calcChain>
</file>

<file path=xl/sharedStrings.xml><?xml version="1.0" encoding="utf-8"?>
<sst xmlns="http://schemas.openxmlformats.org/spreadsheetml/2006/main" count="145" uniqueCount="133">
  <si>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</si>
  <si>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</si>
  <si>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</si>
  <si>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</si>
  <si>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</si>
  <si>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</si>
  <si>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</si>
  <si>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</si>
  <si>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</si>
  <si>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</si>
  <si>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</si>
  <si>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</si>
  <si>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</si>
  <si>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</si>
  <si>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</si>
  <si>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</si>
  <si>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</si>
  <si>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</si>
  <si>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</si>
  <si>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</si>
  <si>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</si>
  <si>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</si>
  <si>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</si>
  <si>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</si>
  <si>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</si>
  <si>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</si>
  <si>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</si>
  <si>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</si>
  <si>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</si>
  <si>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</si>
  <si>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</si>
  <si>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</si>
  <si>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</si>
  <si>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</si>
  <si>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</si>
  <si>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</si>
  <si>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</si>
  <si>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</si>
  <si>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</si>
  <si>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</si>
  <si>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</si>
  <si>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</si>
  <si>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</si>
  <si>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</si>
  <si>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</si>
  <si>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</si>
  <si>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</si>
  <si>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</si>
  <si>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</si>
  <si>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</si>
  <si>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</si>
  <si>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</si>
  <si>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</si>
  <si>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</si>
  <si>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</si>
  <si>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</si>
  <si>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</si>
  <si>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</si>
  <si>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</si>
  <si>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</si>
  <si>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</si>
  <si>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</si>
  <si>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</si>
  <si>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</si>
  <si>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</si>
  <si>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</si>
  <si>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</si>
  <si>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</si>
  <si>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</si>
  <si>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</si>
  <si>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</si>
  <si>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</si>
  <si>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</si>
  <si>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</si>
  <si>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</si>
  <si>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</si>
  <si>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</si>
  <si>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</si>
  <si>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</si>
  <si>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</si>
  <si>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</si>
  <si>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</si>
  <si>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</si>
  <si>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</si>
  <si>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</si>
  <si>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</si>
  <si>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</si>
  <si>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</si>
  <si>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</si>
  <si>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</si>
  <si>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</si>
  <si>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</si>
  <si>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</si>
  <si>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</si>
  <si>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</si>
  <si>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</si>
  <si>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</si>
  <si>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</si>
  <si>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</si>
  <si>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</si>
  <si>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</si>
  <si>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</si>
  <si>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</si>
  <si>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</si>
  <si>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</si>
  <si>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</si>
  <si>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</si>
  <si>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</si>
  <si>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</si>
  <si>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</si>
  <si>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</si>
  <si>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</si>
  <si>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</si>
  <si>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</si>
  <si>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</si>
  <si>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</si>
  <si>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</si>
  <si>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</si>
  <si>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</si>
  <si>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</si>
  <si>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</si>
  <si>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Escritório de Representação em Brasília</t>
  </si>
  <si>
    <t>SEMSA</t>
  </si>
  <si>
    <t>23000</t>
  </si>
  <si>
    <t>Secretaria Municipal de Saúde</t>
  </si>
  <si>
    <t>SIGLA UG</t>
  </si>
  <si>
    <t>Lei nº 3071, 15/06/2023</t>
  </si>
  <si>
    <t>Av. Desembargador João Machado, s/n - Loteamento Parque Mosaico -Tarumã - CEP 69.044-002.</t>
  </si>
  <si>
    <t>002/2026</t>
  </si>
  <si>
    <t>BENS IMÓVEIS - PMM</t>
  </si>
  <si>
    <t>Em ajuste</t>
  </si>
  <si>
    <t>TIPO DE EDIFICAÇÃO</t>
  </si>
  <si>
    <t>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</si>
</sst>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zoomScale="115" zoomScaleNormal="115" workbookViewId="0">
      <pane ySplit="2" topLeftCell="A3" activePane="bottomLeft" state="frozen"/>
      <selection pane="bottomLeft" activeCell="A3" sqref="A3"/>
    </sheetView>
  </sheetViews>
  <sheetFormatPr defaultRowHeight="12.75" x14ac:dyDescent="0.2"/>
  <cols>
    <col min="1" max="1" width="5" style="4" bestFit="1" customWidth="1"/>
    <col min="2" max="2" width="11.85546875" style="4" bestFit="1" customWidth="1"/>
    <col min="3" max="3" width="71.140625" style="4" customWidth="1"/>
    <col min="4" max="4" width="13.85546875" style="4" bestFit="1" customWidth="1"/>
    <col min="5" max="5" width="99" style="4" bestFit="1" customWidth="1"/>
    <col min="6" max="6" width="13.42578125" style="4" customWidth="1"/>
    <col min="7" max="7" width="15.7109375" style="4" customWidth="1"/>
    <col min="8" max="8" width="15.42578125" style="4" bestFit="1" customWidth="1"/>
    <col min="9" max="9" width="14.85546875" style="4" bestFit="1" customWidth="1"/>
    <col min="10" max="10" width="15.7109375" style="4" customWidth="1"/>
    <col min="11" max="11" width="11.85546875" style="4" bestFit="1" customWidth="1"/>
    <col min="12" max="12" width="15.7109375" style="4" customWidth="1"/>
    <col min="13" max="13" width="20.28515625" style="4" bestFit="1" customWidth="1"/>
    <col min="14" max="17" width="15.7109375" style="4" customWidth="1"/>
    <col min="18" max="16384" width="9.140625" style="4"/>
  </cols>
  <sheetData>
    <row r="1" spans="1:17" ht="15.75" customHeight="1" thickBot="1" x14ac:dyDescent="0.25">
      <c r="A1" s="16" t="s">
        <v>129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 s="2" customFormat="1" ht="25.5" customHeight="1" thickBot="1" x14ac:dyDescent="0.3">
      <c r="A2" s="9" t="s">
        <v>132</v>
      </c>
      <c r="B2" s="14" t="s">
        <v>125</v>
      </c>
      <c r="C2" s="10" t="s">
        <v>38</v>
      </c>
      <c r="D2" s="10" t="s">
        <v>75</v>
      </c>
      <c r="E2" s="10" t="s">
        <v>0</v>
      </c>
      <c r="F2" s="10" t="s">
        <v>131</v>
      </c>
      <c r="G2" s="10" t="s">
        <v>9</v>
      </c>
      <c r="H2" s="10" t="s">
        <v>5</v>
      </c>
      <c r="I2" s="10" t="s">
        <v>3</v>
      </c>
      <c r="J2" s="10" t="s">
        <v>15</v>
      </c>
      <c r="K2" s="10" t="s">
        <v>6</v>
      </c>
      <c r="L2" s="10" t="s">
        <v>7</v>
      </c>
      <c r="M2" s="10" t="s">
        <v>8</v>
      </c>
      <c r="N2" s="10" t="s">
        <v>10</v>
      </c>
      <c r="O2" s="10" t="s">
        <v>11</v>
      </c>
      <c r="P2" s="10" t="s">
        <v>13</v>
      </c>
      <c r="Q2" s="11" t="s">
        <v>12</v>
      </c>
    </row>
    <row r="3" spans="1:17" x14ac:dyDescent="0.2">
      <c r="A3" s="15">
        <v>1</v>
      </c>
      <c r="B3" s="3" t="s">
        <v>106</v>
      </c>
      <c r="C3" s="3" t="str">
        <f>VLOOKUP(B3,Listas!A$3:C$30,3,0)</f>
        <v>Instituto Municipal de Planejamento Urbano</v>
      </c>
      <c r="D3" s="3" t="str">
        <f>VLOOKUP(B3,Listas!A$3:C$30,2,0)</f>
        <v>56201</v>
      </c>
      <c r="E3" s="13" t="s">
        <v>127</v>
      </c>
      <c r="F3" s="3" t="s">
        <v>130</v>
      </c>
      <c r="G3" s="3" t="s">
        <v>130</v>
      </c>
      <c r="H3" s="5" t="s">
        <v>130</v>
      </c>
      <c r="I3" s="5">
        <v>0</v>
      </c>
      <c r="J3" s="3" t="s">
        <v>130</v>
      </c>
      <c r="K3" s="12" t="s">
        <v>128</v>
      </c>
      <c r="L3" s="3">
        <v>6250</v>
      </c>
      <c r="M3" s="3" t="s">
        <v>126</v>
      </c>
      <c r="N3" s="3" t="s">
        <v>130</v>
      </c>
      <c r="O3" s="3" t="s">
        <v>130</v>
      </c>
      <c r="P3" s="3" t="s">
        <v>130</v>
      </c>
      <c r="Q3" s="3" t="s">
        <v>130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Listas!$F$3:$F$10</xm:f>
          </x14:formula1>
          <xm:sqref>G3</xm:sqref>
        </x14:dataValidation>
        <x14:dataValidation type="list" allowBlank="1" showInputMessage="1" showErrorMessage="1">
          <x14:formula1>
            <xm:f>Listas!$D$3:$D$8</xm:f>
          </x14:formula1>
          <xm:sqref>F3</xm:sqref>
        </x14:dataValidation>
        <x14:dataValidation type="list" allowBlank="1" showInputMessage="1" showErrorMessage="1">
          <x14:formula1>
            <xm:f>Listas!$A$3:$A$30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121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130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130</v>
      </c>
      <c r="G8" s="6" t="s">
        <v>130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122</v>
      </c>
      <c r="B27" s="6" t="s">
        <v>123</v>
      </c>
      <c r="C27" s="6" t="s">
        <v>124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2026-03-24T14:57:58Z</dcterms:modified>
</cp:coreProperties>
</file>