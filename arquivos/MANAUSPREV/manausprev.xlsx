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Imóveis'!$B$2:$Q$4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C4" i="1" l="1"/>
  <c r="D4" i="1"/>
  <c r="C3" i="1" l="1"/>
  <c r="D3" i="1"/>
</calcChain>
</file>

<file path=xl/sharedStrings.xml><?xml version="1.0" encoding="utf-8"?>
<sst xmlns="http://schemas.openxmlformats.org/spreadsheetml/2006/main" count="159" uniqueCount="132">
  <si>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</si>
  <si>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</si>
  <si>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</si>
  <si>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</si>
  <si>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</si>
  <si>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</si>
  <si>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</si>
  <si>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</si>
  <si>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</si>
  <si>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</si>
  <si>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</si>
  <si>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</si>
  <si>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</si>
  <si>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</si>
  <si>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</si>
  <si>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</si>
  <si>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</si>
  <si>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</si>
  <si>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</si>
  <si>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</si>
  <si>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</si>
  <si>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</si>
  <si>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</si>
  <si>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</si>
  <si>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</si>
  <si>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</si>
  <si>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</si>
  <si>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</si>
  <si>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</si>
  <si>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</si>
  <si>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</si>
  <si>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</si>
  <si>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</si>
  <si>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</si>
  <si>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</si>
  <si>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</si>
  <si>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</si>
  <si>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</si>
  <si>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</si>
  <si>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</si>
  <si>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</si>
  <si>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</si>
  <si>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</si>
  <si>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</si>
  <si>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</si>
  <si>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</si>
  <si>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</si>
  <si>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</si>
  <si>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</si>
  <si>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</si>
  <si>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</si>
  <si>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</si>
  <si>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</si>
  <si>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</si>
  <si>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</si>
  <si>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</si>
  <si>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</si>
  <si>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</si>
  <si>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</si>
  <si>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</si>
  <si>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</si>
  <si>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</si>
  <si>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</si>
  <si>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</si>
  <si>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</si>
  <si>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</si>
  <si>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</si>
  <si>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</si>
  <si>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</si>
  <si>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</si>
  <si>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</si>
  <si>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</si>
  <si>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</si>
  <si>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</si>
  <si>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</si>
  <si>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</si>
  <si>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</si>
  <si>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</si>
  <si>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</si>
  <si>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</si>
  <si>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</si>
  <si>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</si>
  <si>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</si>
  <si>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</si>
  <si>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</si>
  <si>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</si>
  <si>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</si>
  <si>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</si>
  <si>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</si>
  <si>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</si>
  <si>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</si>
  <si>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</si>
  <si>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</si>
  <si>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</si>
  <si>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</si>
  <si>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</si>
  <si>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</si>
  <si>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</si>
  <si>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</si>
  <si>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</si>
  <si>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</si>
  <si>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</si>
  <si>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</si>
  <si>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</si>
  <si>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</si>
  <si>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</si>
  <si>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</si>
  <si>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</si>
  <si>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</si>
  <si>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</si>
  <si>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</si>
  <si>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</si>
  <si>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</si>
  <si>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</si>
  <si>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</si>
  <si>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</si>
  <si>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</si>
  <si>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</si>
  <si>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</si>
  <si>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</si>
  <si>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</si>
  <si>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Av. Constantino Nery, 2480 - Chapada - CEP 69.050-001.</t>
  </si>
  <si>
    <t>R. Luiz Antony, 115 - Centro - CEP 69.010-100.</t>
  </si>
  <si>
    <t>Escritório de Representação em Brasília</t>
  </si>
  <si>
    <t>SEMSA</t>
  </si>
  <si>
    <t>23000</t>
  </si>
  <si>
    <t>Secretaria Municipal de Saúde</t>
  </si>
  <si>
    <t>SIGLA UG</t>
  </si>
  <si>
    <t>BENS IMÓVEIS - PMM</t>
  </si>
  <si>
    <t>Em ajuste</t>
  </si>
  <si>
    <t>TIPO DE EDIFICAÇÃO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</si>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</sst>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abSelected="1" zoomScale="115" zoomScaleNormal="115" workbookViewId="0">
      <pane ySplit="2" topLeftCell="A3" activePane="bottomLeft" state="frozen"/>
      <selection pane="bottomLeft" activeCell="C12" sqref="C12"/>
    </sheetView>
  </sheetViews>
  <sheetFormatPr defaultRowHeight="12.75" x14ac:dyDescent="0.2"/>
  <cols>
    <col min="1" max="1" width="5" style="4" bestFit="1" customWidth="1"/>
    <col min="2" max="2" width="11.85546875" style="4" bestFit="1" customWidth="1"/>
    <col min="3" max="3" width="71.140625" style="4" customWidth="1"/>
    <col min="4" max="4" width="13.85546875" style="4" bestFit="1" customWidth="1"/>
    <col min="5" max="5" width="99" style="4" bestFit="1" customWidth="1"/>
    <col min="6" max="6" width="13.42578125" style="4" customWidth="1"/>
    <col min="7" max="7" width="15.7109375" style="4" customWidth="1"/>
    <col min="8" max="8" width="15.42578125" style="4" bestFit="1" customWidth="1"/>
    <col min="9" max="9" width="14.85546875" style="4" bestFit="1" customWidth="1"/>
    <col min="10" max="10" width="15.7109375" style="4" customWidth="1"/>
    <col min="11" max="11" width="11.85546875" style="4" bestFit="1" customWidth="1"/>
    <col min="12" max="12" width="15.7109375" style="4" customWidth="1"/>
    <col min="13" max="13" width="20.28515625" style="4" bestFit="1" customWidth="1"/>
    <col min="14" max="17" width="15.7109375" style="4" customWidth="1"/>
    <col min="18" max="16384" width="9.140625" style="4"/>
  </cols>
  <sheetData>
    <row r="1" spans="1:17" ht="15.75" customHeight="1" thickBot="1" x14ac:dyDescent="0.25">
      <c r="A1" s="16" t="s">
        <v>128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 s="2" customFormat="1" ht="25.5" customHeight="1" thickBot="1" x14ac:dyDescent="0.3">
      <c r="A2" s="9" t="s">
        <v>131</v>
      </c>
      <c r="B2" s="14" t="s">
        <v>127</v>
      </c>
      <c r="C2" s="10" t="s">
        <v>38</v>
      </c>
      <c r="D2" s="10" t="s">
        <v>75</v>
      </c>
      <c r="E2" s="10" t="s">
        <v>0</v>
      </c>
      <c r="F2" s="10" t="s">
        <v>130</v>
      </c>
      <c r="G2" s="10" t="s">
        <v>9</v>
      </c>
      <c r="H2" s="10" t="s">
        <v>5</v>
      </c>
      <c r="I2" s="10" t="s">
        <v>3</v>
      </c>
      <c r="J2" s="10" t="s">
        <v>15</v>
      </c>
      <c r="K2" s="10" t="s">
        <v>6</v>
      </c>
      <c r="L2" s="10" t="s">
        <v>7</v>
      </c>
      <c r="M2" s="10" t="s">
        <v>8</v>
      </c>
      <c r="N2" s="10" t="s">
        <v>10</v>
      </c>
      <c r="O2" s="10" t="s">
        <v>11</v>
      </c>
      <c r="P2" s="10" t="s">
        <v>13</v>
      </c>
      <c r="Q2" s="11" t="s">
        <v>12</v>
      </c>
    </row>
    <row r="3" spans="1:17" x14ac:dyDescent="0.2">
      <c r="A3" s="15">
        <v>1</v>
      </c>
      <c r="B3" s="3" t="s">
        <v>115</v>
      </c>
      <c r="C3" s="3" t="str">
        <f>VLOOKUP(B3,Listas!A$3:C$30,3,0)</f>
        <v>Manaus Previdência</v>
      </c>
      <c r="D3" s="3" t="str">
        <f>VLOOKUP(B3,Listas!A$3:C$30,2,0)</f>
        <v>63201</v>
      </c>
      <c r="E3" s="13" t="s">
        <v>121</v>
      </c>
      <c r="F3" s="3" t="s">
        <v>129</v>
      </c>
      <c r="G3" s="3" t="s">
        <v>129</v>
      </c>
      <c r="H3" s="5" t="s">
        <v>129</v>
      </c>
      <c r="I3" s="5">
        <v>3662129.18</v>
      </c>
      <c r="J3" s="3" t="s">
        <v>129</v>
      </c>
      <c r="K3" s="12" t="s">
        <v>129</v>
      </c>
      <c r="L3" s="3" t="s">
        <v>129</v>
      </c>
      <c r="M3" s="3" t="s">
        <v>129</v>
      </c>
      <c r="N3" s="3" t="s">
        <v>129</v>
      </c>
      <c r="O3" s="3" t="s">
        <v>129</v>
      </c>
      <c r="P3" s="3" t="s">
        <v>129</v>
      </c>
      <c r="Q3" s="3" t="s">
        <v>129</v>
      </c>
    </row>
    <row r="4" spans="1:17" x14ac:dyDescent="0.2">
      <c r="A4" s="15">
        <f>A3+1</f>
        <v>2</v>
      </c>
      <c r="B4" s="3" t="s">
        <v>115</v>
      </c>
      <c r="C4" s="3" t="str">
        <f>VLOOKUP(B4,Listas!A$3:C$30,3,0)</f>
        <v>Manaus Previdência</v>
      </c>
      <c r="D4" s="3" t="str">
        <f>VLOOKUP(B4,Listas!A$3:C$30,2,0)</f>
        <v>63201</v>
      </c>
      <c r="E4" s="13" t="s">
        <v>122</v>
      </c>
      <c r="F4" s="3" t="s">
        <v>129</v>
      </c>
      <c r="G4" s="3" t="s">
        <v>129</v>
      </c>
      <c r="H4" s="5" t="s">
        <v>129</v>
      </c>
      <c r="I4" s="5">
        <v>396792.68</v>
      </c>
      <c r="J4" s="3" t="s">
        <v>129</v>
      </c>
      <c r="K4" s="12" t="s">
        <v>129</v>
      </c>
      <c r="L4" s="3" t="s">
        <v>129</v>
      </c>
      <c r="M4" s="3" t="s">
        <v>129</v>
      </c>
      <c r="N4" s="3" t="s">
        <v>129</v>
      </c>
      <c r="O4" s="3" t="s">
        <v>129</v>
      </c>
      <c r="P4" s="3" t="s">
        <v>129</v>
      </c>
      <c r="Q4" s="3" t="s">
        <v>129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Listas!$F$3:$F$10</xm:f>
          </x14:formula1>
          <xm:sqref>G3:G4</xm:sqref>
        </x14:dataValidation>
        <x14:dataValidation type="list" allowBlank="1" showInputMessage="1" showErrorMessage="1">
          <x14:formula1>
            <xm:f>Listas!$D$3:$D$8</xm:f>
          </x14:formula1>
          <xm:sqref>F3:F4</xm:sqref>
        </x14:dataValidation>
        <x14:dataValidation type="list" allowBlank="1" showInputMessage="1" showErrorMessage="1">
          <x14:formula1>
            <xm:f>Listas!$A$3:$A$30</xm:f>
          </x14:formula1>
          <xm:sqref>B3:B4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123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129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129</v>
      </c>
      <c r="G8" s="6" t="s">
        <v>129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124</v>
      </c>
      <c r="B27" s="6" t="s">
        <v>125</v>
      </c>
      <c r="C27" s="6" t="s">
        <v>126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2026-03-24T15:00:53Z</dcterms:modified>
</cp:coreProperties>
</file>