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ABR 2026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Imóveis'!$A$1:$P$3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B3" i="1" l="1"/>
  <c r="B2" i="1" l="1"/>
</calcChain>
</file>

<file path=xl/sharedStrings.xml><?xml version="1.0" encoding="utf-8"?>
<sst xmlns="http://schemas.openxmlformats.org/spreadsheetml/2006/main" count="155" uniqueCount="131">
  <si>
    <t>ZONA</t>
  </si>
  <si>
    <t>CARTÓRIO</t>
  </si>
  <si>
    <t xml:space="preserve">EDIFICAÇÃO 
VALOR (R$) </t>
  </si>
  <si>
    <t>UG</t>
  </si>
  <si>
    <t>SITUAÇÃO USO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</si>
  <si>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</si>
  <si>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</si>
  <si>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</si>
  <si>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</si>
  <si>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</si>
  <si>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</si>
  <si>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</si>
  <si>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</si>
  <si>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</si>
  <si>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</si>
  <si>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</si>
  <si>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</si>
  <si>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</si>
  <si>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</si>
  <si>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</si>
  <si>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</si>
  <si>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</si>
  <si>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</si>
  <si>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</si>
  <si>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</si>
  <si>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</si>
  <si>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</si>
  <si>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</si>
  <si>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</si>
  <si>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</si>
  <si>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</si>
  <si>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</si>
  <si>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</si>
  <si>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</si>
  <si>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</si>
  <si>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</si>
  <si>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</si>
  <si>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</si>
  <si>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</si>
  <si>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</si>
  <si>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</si>
  <si>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</si>
  <si>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</si>
  <si>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</si>
  <si>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</si>
  <si>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</si>
  <si>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</si>
  <si>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</si>
  <si>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</si>
  <si>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</si>
  <si>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</si>
  <si>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</si>
  <si>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</si>
  <si>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</si>
  <si>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</si>
  <si>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</si>
  <si>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</si>
  <si>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</si>
  <si>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</si>
  <si>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</si>
  <si>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</si>
  <si>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</si>
  <si>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</si>
  <si>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</si>
  <si>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</si>
  <si>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</si>
  <si>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</si>
  <si>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</si>
  <si>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</si>
  <si>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</si>
  <si>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</si>
  <si>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</si>
  <si>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</si>
  <si>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</si>
  <si>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</si>
  <si>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</si>
  <si>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</si>
  <si>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</si>
  <si>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</si>
  <si>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</si>
  <si>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</si>
  <si>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</si>
  <si>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</si>
  <si>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Escritório de Representação em Brasília</t>
  </si>
  <si>
    <t>SEMSA</t>
  </si>
  <si>
    <t>Secretaria Municipal de Saúde</t>
  </si>
  <si>
    <t>SIGLA UG</t>
  </si>
  <si>
    <t>Em ajuste</t>
  </si>
  <si>
    <t>Av. Constantino Nery, 2480 - Chapada - CEP 69.050-001</t>
  </si>
  <si>
    <t>R. Luiz Antony, 115 - Centro - CEP 69.010-100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</si>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</sst>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21" style="4" bestFit="1" customWidth="1"/>
    <col min="4" max="4" width="15.7109375" style="4" customWidth="1"/>
    <col min="5" max="5" width="11.85546875" style="4" bestFit="1" customWidth="1"/>
    <col min="6" max="6" width="15.7109375" style="4" customWidth="1"/>
    <col min="7" max="7" width="13.42578125" style="4" customWidth="1"/>
    <col min="8" max="8" width="98.5703125" style="4" bestFit="1" customWidth="1"/>
    <col min="9" max="9" width="20.28515625" style="4" bestFit="1" customWidth="1"/>
    <col min="10" max="10" width="15.7109375" style="4" customWidth="1"/>
    <col min="11" max="11" width="22" style="4" customWidth="1"/>
    <col min="12" max="16" width="15.7109375" style="4" customWidth="1"/>
    <col min="17" max="16384" width="9.140625" style="4"/>
  </cols>
  <sheetData>
    <row r="1" spans="1:16" s="2" customFormat="1" ht="25.5" customHeight="1" thickBot="1" x14ac:dyDescent="0.3">
      <c r="A1" s="12" t="s">
        <v>86</v>
      </c>
      <c r="B1" s="13" t="s">
        <v>27</v>
      </c>
      <c r="C1" s="13" t="s">
        <v>2</v>
      </c>
      <c r="D1" s="15" t="s">
        <v>90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  <c r="K1" s="14" t="s">
        <v>97</v>
      </c>
      <c r="L1" s="14" t="s">
        <v>98</v>
      </c>
      <c r="M1" s="14" t="s">
        <v>99</v>
      </c>
      <c r="N1" s="14" t="s">
        <v>100</v>
      </c>
      <c r="O1" s="14" t="s">
        <v>101</v>
      </c>
      <c r="P1" s="14" t="s">
        <v>102</v>
      </c>
    </row>
    <row r="2" spans="1:16" x14ac:dyDescent="0.2">
      <c r="A2" s="3" t="s">
        <v>79</v>
      </c>
      <c r="B2" s="3" t="str">
        <f>VLOOKUP(A2,Listas!A$3:C$30,3,0)</f>
        <v>Manaus Previdência</v>
      </c>
      <c r="C2" s="5">
        <v>8854510.9299999997</v>
      </c>
      <c r="D2" s="9">
        <v>83</v>
      </c>
      <c r="E2" s="10" t="s">
        <v>87</v>
      </c>
      <c r="F2" s="3" t="s">
        <v>87</v>
      </c>
      <c r="G2" s="3" t="s">
        <v>87</v>
      </c>
      <c r="H2" s="11" t="s">
        <v>88</v>
      </c>
      <c r="I2" s="3" t="s">
        <v>87</v>
      </c>
      <c r="J2" s="3" t="s">
        <v>87</v>
      </c>
      <c r="K2" s="9" t="str">
        <f>VLOOKUP(A2,Listas!A$3:C$30,2,0)</f>
        <v>630201</v>
      </c>
      <c r="L2" s="3" t="s">
        <v>87</v>
      </c>
      <c r="M2" s="3" t="s">
        <v>87</v>
      </c>
      <c r="N2" s="5" t="s">
        <v>87</v>
      </c>
      <c r="O2" s="3" t="s">
        <v>87</v>
      </c>
      <c r="P2" s="3" t="s">
        <v>87</v>
      </c>
    </row>
    <row r="3" spans="1:16" x14ac:dyDescent="0.2">
      <c r="A3" s="3" t="s">
        <v>79</v>
      </c>
      <c r="B3" s="3" t="str">
        <f>VLOOKUP(A3,Listas!A$3:C$30,3,0)</f>
        <v>Manaus Previdência</v>
      </c>
      <c r="C3" s="5">
        <v>396792.68</v>
      </c>
      <c r="D3" s="9">
        <v>84</v>
      </c>
      <c r="E3" s="10" t="s">
        <v>87</v>
      </c>
      <c r="F3" s="3" t="s">
        <v>87</v>
      </c>
      <c r="G3" s="3" t="s">
        <v>87</v>
      </c>
      <c r="H3" s="11" t="s">
        <v>89</v>
      </c>
      <c r="I3" s="3" t="s">
        <v>87</v>
      </c>
      <c r="J3" s="3" t="s">
        <v>87</v>
      </c>
      <c r="K3" s="9" t="str">
        <f>VLOOKUP(A3,Listas!A$3:C$30,2,0)</f>
        <v>630201</v>
      </c>
      <c r="L3" s="3" t="s">
        <v>87</v>
      </c>
      <c r="M3" s="3" t="s">
        <v>87</v>
      </c>
      <c r="N3" s="5" t="s">
        <v>87</v>
      </c>
      <c r="O3" s="3" t="s">
        <v>87</v>
      </c>
      <c r="P3" s="3" t="s">
        <v>87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J2:J3</xm:sqref>
        </x14:dataValidation>
        <x14:dataValidation type="list" allowBlank="1" showInputMessage="1" showErrorMessage="1">
          <x14:formula1>
            <xm:f>Listas!$D$3:$D$8</xm:f>
          </x14:formula1>
          <xm:sqref>G2:G3</xm:sqref>
        </x14:dataValidation>
        <x14:dataValidation type="list" allowBlank="1" showInputMessage="1" showErrorMessage="1">
          <x14:formula1>
            <xm:f>Listas!$A$3:$A$30</xm:f>
          </x14:formula1>
          <xm:sqref>A2:A3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B34" sqref="B34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3</v>
      </c>
      <c r="B2" s="8" t="s">
        <v>52</v>
      </c>
      <c r="C2" s="8" t="s">
        <v>29</v>
      </c>
      <c r="D2" s="8" t="s">
        <v>5</v>
      </c>
      <c r="E2" s="8" t="s">
        <v>0</v>
      </c>
      <c r="F2" s="8" t="s">
        <v>4</v>
      </c>
      <c r="G2" s="8" t="s">
        <v>1</v>
      </c>
    </row>
    <row r="3" spans="1:7" x14ac:dyDescent="0.25">
      <c r="A3" s="6" t="s">
        <v>81</v>
      </c>
      <c r="B3" s="6" t="s">
        <v>103</v>
      </c>
      <c r="C3" s="6" t="s">
        <v>82</v>
      </c>
      <c r="D3" s="6" t="s">
        <v>7</v>
      </c>
      <c r="E3" s="6" t="s">
        <v>16</v>
      </c>
      <c r="F3" s="6" t="s">
        <v>20</v>
      </c>
      <c r="G3" s="6" t="s">
        <v>22</v>
      </c>
    </row>
    <row r="4" spans="1:7" x14ac:dyDescent="0.25">
      <c r="A4" s="6" t="s">
        <v>31</v>
      </c>
      <c r="B4" s="6" t="s">
        <v>104</v>
      </c>
      <c r="C4" s="6" t="s">
        <v>32</v>
      </c>
      <c r="D4" s="6" t="s">
        <v>6</v>
      </c>
      <c r="E4" s="6" t="s">
        <v>15</v>
      </c>
      <c r="F4" s="6" t="s">
        <v>21</v>
      </c>
      <c r="G4" s="6" t="s">
        <v>23</v>
      </c>
    </row>
    <row r="5" spans="1:7" x14ac:dyDescent="0.25">
      <c r="A5" s="6" t="s">
        <v>33</v>
      </c>
      <c r="B5" s="6" t="s">
        <v>105</v>
      </c>
      <c r="C5" s="6" t="s">
        <v>83</v>
      </c>
      <c r="D5" s="6" t="s">
        <v>8</v>
      </c>
      <c r="E5" s="6" t="s">
        <v>14</v>
      </c>
      <c r="F5" s="6" t="s">
        <v>18</v>
      </c>
      <c r="G5" s="6" t="s">
        <v>24</v>
      </c>
    </row>
    <row r="6" spans="1:7" x14ac:dyDescent="0.25">
      <c r="A6" s="6" t="s">
        <v>50</v>
      </c>
      <c r="B6" s="6" t="s">
        <v>106</v>
      </c>
      <c r="C6" s="6" t="s">
        <v>51</v>
      </c>
      <c r="D6" s="6" t="s">
        <v>87</v>
      </c>
      <c r="E6" s="6" t="s">
        <v>13</v>
      </c>
      <c r="F6" s="6" t="s">
        <v>17</v>
      </c>
      <c r="G6" s="6" t="s">
        <v>25</v>
      </c>
    </row>
    <row r="7" spans="1:7" x14ac:dyDescent="0.25">
      <c r="A7" s="6" t="s">
        <v>40</v>
      </c>
      <c r="B7" s="6" t="s">
        <v>107</v>
      </c>
      <c r="C7" s="6" t="s">
        <v>41</v>
      </c>
      <c r="D7" s="6"/>
      <c r="E7" s="6" t="s">
        <v>11</v>
      </c>
      <c r="F7" s="6" t="s">
        <v>19</v>
      </c>
      <c r="G7" s="6" t="s">
        <v>26</v>
      </c>
    </row>
    <row r="8" spans="1:7" x14ac:dyDescent="0.25">
      <c r="A8" s="6" t="s">
        <v>28</v>
      </c>
      <c r="B8" s="6" t="s">
        <v>108</v>
      </c>
      <c r="C8" s="6" t="s">
        <v>30</v>
      </c>
      <c r="D8" s="6"/>
      <c r="E8" s="6" t="s">
        <v>9</v>
      </c>
      <c r="F8" s="6" t="s">
        <v>87</v>
      </c>
      <c r="G8" s="6" t="s">
        <v>87</v>
      </c>
    </row>
    <row r="9" spans="1:7" x14ac:dyDescent="0.25">
      <c r="A9" s="6" t="s">
        <v>71</v>
      </c>
      <c r="B9" s="6" t="s">
        <v>109</v>
      </c>
      <c r="C9" s="6" t="s">
        <v>72</v>
      </c>
      <c r="D9" s="6"/>
      <c r="E9" s="6" t="s">
        <v>12</v>
      </c>
      <c r="F9" s="6"/>
      <c r="G9" s="6"/>
    </row>
    <row r="10" spans="1:7" x14ac:dyDescent="0.25">
      <c r="A10" s="6" t="s">
        <v>53</v>
      </c>
      <c r="B10" s="6" t="s">
        <v>110</v>
      </c>
      <c r="C10" s="6" t="s">
        <v>54</v>
      </c>
      <c r="D10" s="6"/>
      <c r="E10" s="6" t="s">
        <v>10</v>
      </c>
      <c r="F10" s="6"/>
      <c r="G10" s="6"/>
    </row>
    <row r="11" spans="1:7" x14ac:dyDescent="0.25">
      <c r="A11" s="6" t="s">
        <v>34</v>
      </c>
      <c r="B11" s="6" t="s">
        <v>111</v>
      </c>
      <c r="C11" s="6" t="s">
        <v>35</v>
      </c>
      <c r="D11" s="6"/>
      <c r="E11" s="6"/>
      <c r="F11" s="6"/>
      <c r="G11" s="6"/>
    </row>
    <row r="12" spans="1:7" x14ac:dyDescent="0.25">
      <c r="A12" s="6" t="s">
        <v>75</v>
      </c>
      <c r="B12" s="6" t="s">
        <v>112</v>
      </c>
      <c r="C12" s="6" t="s">
        <v>76</v>
      </c>
      <c r="D12" s="6"/>
      <c r="E12" s="6"/>
      <c r="F12" s="6"/>
      <c r="G12" s="6"/>
    </row>
    <row r="13" spans="1:7" x14ac:dyDescent="0.25">
      <c r="A13" s="6" t="s">
        <v>73</v>
      </c>
      <c r="B13" s="6" t="s">
        <v>113</v>
      </c>
      <c r="C13" s="6" t="s">
        <v>74</v>
      </c>
      <c r="D13" s="6"/>
      <c r="E13" s="6"/>
      <c r="F13" s="6"/>
      <c r="G13" s="6"/>
    </row>
    <row r="14" spans="1:7" x14ac:dyDescent="0.25">
      <c r="A14" s="6" t="s">
        <v>77</v>
      </c>
      <c r="B14" s="6" t="s">
        <v>114</v>
      </c>
      <c r="C14" s="6" t="s">
        <v>78</v>
      </c>
      <c r="D14" s="6"/>
      <c r="E14" s="6"/>
      <c r="F14" s="6"/>
      <c r="G14" s="6"/>
    </row>
    <row r="15" spans="1:7" x14ac:dyDescent="0.25">
      <c r="A15" s="6" t="s">
        <v>79</v>
      </c>
      <c r="B15" s="6" t="s">
        <v>115</v>
      </c>
      <c r="C15" s="6" t="s">
        <v>80</v>
      </c>
      <c r="D15" s="6"/>
      <c r="E15" s="6"/>
      <c r="F15" s="6"/>
      <c r="G15" s="6"/>
    </row>
    <row r="16" spans="1:7" x14ac:dyDescent="0.25">
      <c r="A16" s="6" t="s">
        <v>36</v>
      </c>
      <c r="B16" s="6" t="s">
        <v>116</v>
      </c>
      <c r="C16" s="6" t="s">
        <v>37</v>
      </c>
      <c r="D16" s="6"/>
      <c r="E16" s="6"/>
      <c r="F16" s="6"/>
      <c r="G16" s="6"/>
    </row>
    <row r="17" spans="1:7" x14ac:dyDescent="0.25">
      <c r="A17" s="6" t="s">
        <v>67</v>
      </c>
      <c r="B17" s="6" t="s">
        <v>117</v>
      </c>
      <c r="C17" s="6" t="s">
        <v>68</v>
      </c>
      <c r="D17" s="6"/>
      <c r="E17" s="6"/>
      <c r="F17" s="6"/>
      <c r="G17" s="6"/>
    </row>
    <row r="18" spans="1:7" x14ac:dyDescent="0.25">
      <c r="A18" s="6" t="s">
        <v>38</v>
      </c>
      <c r="B18" s="6" t="s">
        <v>118</v>
      </c>
      <c r="C18" s="6" t="s">
        <v>39</v>
      </c>
      <c r="D18" s="6"/>
      <c r="E18" s="6"/>
      <c r="F18" s="6"/>
      <c r="G18" s="6"/>
    </row>
    <row r="19" spans="1:7" x14ac:dyDescent="0.25">
      <c r="A19" s="6" t="s">
        <v>63</v>
      </c>
      <c r="B19" s="6" t="s">
        <v>119</v>
      </c>
      <c r="C19" s="6" t="s">
        <v>64</v>
      </c>
      <c r="D19" s="6"/>
      <c r="E19" s="6"/>
      <c r="F19" s="6"/>
      <c r="G19" s="6"/>
    </row>
    <row r="20" spans="1:7" x14ac:dyDescent="0.25">
      <c r="A20" s="6" t="s">
        <v>46</v>
      </c>
      <c r="B20" s="6" t="s">
        <v>120</v>
      </c>
      <c r="C20" s="6" t="s">
        <v>47</v>
      </c>
      <c r="D20" s="6"/>
      <c r="E20" s="6"/>
      <c r="F20" s="6"/>
      <c r="G20" s="6"/>
    </row>
    <row r="21" spans="1:7" x14ac:dyDescent="0.25">
      <c r="A21" s="6" t="s">
        <v>44</v>
      </c>
      <c r="B21" s="6" t="s">
        <v>121</v>
      </c>
      <c r="C21" s="6" t="s">
        <v>45</v>
      </c>
      <c r="D21" s="6"/>
      <c r="E21" s="6"/>
      <c r="F21" s="6"/>
      <c r="G21" s="6"/>
    </row>
    <row r="22" spans="1:7" x14ac:dyDescent="0.25">
      <c r="A22" s="6" t="s">
        <v>42</v>
      </c>
      <c r="B22" s="6" t="s">
        <v>122</v>
      </c>
      <c r="C22" s="6" t="s">
        <v>43</v>
      </c>
      <c r="D22" s="6"/>
      <c r="E22" s="6"/>
      <c r="F22" s="6"/>
      <c r="G22" s="6"/>
    </row>
    <row r="23" spans="1:7" x14ac:dyDescent="0.25">
      <c r="A23" s="6" t="s">
        <v>69</v>
      </c>
      <c r="B23" s="6" t="s">
        <v>123</v>
      </c>
      <c r="C23" s="6" t="s">
        <v>70</v>
      </c>
      <c r="D23" s="6"/>
      <c r="E23" s="6"/>
      <c r="F23" s="6"/>
      <c r="G23" s="6"/>
    </row>
    <row r="24" spans="1:7" x14ac:dyDescent="0.25">
      <c r="A24" s="6" t="s">
        <v>59</v>
      </c>
      <c r="B24" s="6" t="s">
        <v>124</v>
      </c>
      <c r="C24" s="6" t="s">
        <v>60</v>
      </c>
      <c r="D24" s="6"/>
      <c r="E24" s="6"/>
      <c r="F24" s="6"/>
      <c r="G24" s="6"/>
    </row>
    <row r="25" spans="1:7" x14ac:dyDescent="0.25">
      <c r="A25" s="6" t="s">
        <v>57</v>
      </c>
      <c r="B25" s="6" t="s">
        <v>125</v>
      </c>
      <c r="C25" s="6" t="s">
        <v>58</v>
      </c>
      <c r="D25" s="6"/>
      <c r="E25" s="6"/>
      <c r="F25" s="6"/>
      <c r="G25" s="6"/>
    </row>
    <row r="26" spans="1:7" x14ac:dyDescent="0.25">
      <c r="A26" s="6" t="s">
        <v>61</v>
      </c>
      <c r="B26" s="6" t="s">
        <v>126</v>
      </c>
      <c r="C26" s="6" t="s">
        <v>62</v>
      </c>
      <c r="D26" s="6"/>
      <c r="E26" s="6"/>
      <c r="F26" s="6"/>
      <c r="G26" s="6"/>
    </row>
    <row r="27" spans="1:7" x14ac:dyDescent="0.25">
      <c r="A27" s="6" t="s">
        <v>84</v>
      </c>
      <c r="B27" s="6" t="s">
        <v>127</v>
      </c>
      <c r="C27" s="6" t="s">
        <v>85</v>
      </c>
      <c r="D27" s="6"/>
      <c r="E27" s="6"/>
      <c r="F27" s="6"/>
      <c r="G27" s="6"/>
    </row>
    <row r="28" spans="1:7" x14ac:dyDescent="0.25">
      <c r="A28" s="6" t="s">
        <v>56</v>
      </c>
      <c r="B28" s="6" t="s">
        <v>128</v>
      </c>
      <c r="C28" s="6" t="s">
        <v>55</v>
      </c>
      <c r="D28" s="6"/>
      <c r="E28" s="6"/>
      <c r="F28" s="6"/>
      <c r="G28" s="6"/>
    </row>
    <row r="29" spans="1:7" x14ac:dyDescent="0.25">
      <c r="A29" s="6" t="s">
        <v>48</v>
      </c>
      <c r="B29" s="6" t="s">
        <v>129</v>
      </c>
      <c r="C29" s="6" t="s">
        <v>49</v>
      </c>
      <c r="D29" s="6"/>
      <c r="E29" s="6"/>
      <c r="F29" s="6"/>
      <c r="G29" s="6"/>
    </row>
    <row r="30" spans="1:7" x14ac:dyDescent="0.25">
      <c r="A30" s="6" t="s">
        <v>65</v>
      </c>
      <c r="B30" s="6" t="s">
        <v>130</v>
      </c>
      <c r="C30" s="6" t="s">
        <v>66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2026-07-03T14:03:51Z</dcterms:modified>
</cp:coreProperties>
</file>