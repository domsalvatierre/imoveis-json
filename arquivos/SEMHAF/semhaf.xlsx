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</calcChain>
</file>

<file path=xl/sharedStrings.xml><?xml version="1.0" encoding="utf-8"?>
<sst xmlns="http://schemas.openxmlformats.org/spreadsheetml/2006/main" count="145" uniqueCount="133">
  <si>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</si>
  <si>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</si>
  <si>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</si>
  <si>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</si>
  <si>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</si>
  <si>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</si>
  <si>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</si>
  <si>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</si>
  <si>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</si>
  <si>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</si>
  <si>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</si>
  <si>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</si>
  <si>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</si>
  <si>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</si>
  <si>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</si>
  <si>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</si>
  <si>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</si>
  <si>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</si>
  <si>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</si>
  <si>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</si>
  <si>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</si>
  <si>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</si>
  <si>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</si>
  <si>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</si>
  <si>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</si>
  <si>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</si>
  <si>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</si>
  <si>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</si>
  <si>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</si>
  <si>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</si>
  <si>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</si>
  <si>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</si>
  <si>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</si>
  <si>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</si>
  <si>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</si>
  <si>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</si>
  <si>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</si>
  <si>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</si>
  <si>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</si>
  <si>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</si>
  <si>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</si>
  <si>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</si>
  <si>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</si>
  <si>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</si>
  <si>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</si>
  <si>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</si>
  <si>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</si>
  <si>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</si>
  <si>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</si>
  <si>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</si>
  <si>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</si>
  <si>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</si>
  <si>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</si>
  <si>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</si>
  <si>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</si>
  <si>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</si>
  <si>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</si>
  <si>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</si>
  <si>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</si>
  <si>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</si>
  <si>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</si>
  <si>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</si>
  <si>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</si>
  <si>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</si>
  <si>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</si>
  <si>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</si>
  <si>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</si>
  <si>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</si>
  <si>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</si>
  <si>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</si>
  <si>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</si>
  <si>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</si>
  <si>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</si>
  <si>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</si>
  <si>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</si>
  <si>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</si>
  <si>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</si>
  <si>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</si>
  <si>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</si>
  <si>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</si>
  <si>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</si>
  <si>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</si>
  <si>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</si>
  <si>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</si>
  <si>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</si>
  <si>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</si>
  <si>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</si>
  <si>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</si>
  <si>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</si>
  <si>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</si>
  <si>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</si>
  <si>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</si>
  <si>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</si>
  <si>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</si>
  <si>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</si>
  <si>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</si>
  <si>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</si>
  <si>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</si>
  <si>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</si>
  <si>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</si>
  <si>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</si>
  <si>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</si>
  <si>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</si>
  <si>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</si>
  <si>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</si>
  <si>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</si>
  <si>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</si>
  <si>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</si>
  <si>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</si>
  <si>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</si>
  <si>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</si>
  <si>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</si>
  <si>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</si>
  <si>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</si>
  <si>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</si>
  <si>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</si>
  <si>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</si>
  <si>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</si>
  <si>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</si>
  <si>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</si>
  <si>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</si>
  <si>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</si>
  <si>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SEMSA</t>
  </si>
  <si>
    <t>23000</t>
  </si>
  <si>
    <t>Secretaria Municipal de Saúde</t>
  </si>
  <si>
    <t>SIGLA UG</t>
  </si>
  <si>
    <t>Lei nº 3071, 15/06/2023</t>
  </si>
  <si>
    <t>004/2024</t>
  </si>
  <si>
    <t>BENS IMÓVEIS - PMM</t>
  </si>
  <si>
    <t>Em ajuste</t>
  </si>
  <si>
    <t>TIPO DE EDIFICAÇÃO</t>
  </si>
  <si>
    <t>Nº</t>
  </si>
  <si>
    <t>R. Borba,1096 - Cachoeirinha - CEP 69.065-030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</si>
</sst>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zoomScale="115" zoomScaleNormal="115" workbookViewId="0">
      <pane ySplit="2" topLeftCell="A3" activePane="bottomLeft" state="frozen"/>
      <selection pane="bottomLeft" activeCell="C17" sqref="C17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131</v>
      </c>
      <c r="B2" s="14" t="s">
        <v>125</v>
      </c>
      <c r="C2" s="10" t="s">
        <v>38</v>
      </c>
      <c r="D2" s="10" t="s">
        <v>75</v>
      </c>
      <c r="E2" s="10" t="s">
        <v>0</v>
      </c>
      <c r="F2" s="10" t="s">
        <v>130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100</v>
      </c>
      <c r="C3" s="3" t="str">
        <f>VLOOKUP(B3,Listas!A$3:C$30,3,0)</f>
        <v>Secretaria Municipal de Habitação e Assuntos Fundiários</v>
      </c>
      <c r="D3" s="3" t="str">
        <f>VLOOKUP(B3,Listas!A$3:C$30,2,0)</f>
        <v>44101</v>
      </c>
      <c r="E3" s="13" t="s">
        <v>132</v>
      </c>
      <c r="F3" s="3" t="s">
        <v>129</v>
      </c>
      <c r="G3" s="3" t="s">
        <v>129</v>
      </c>
      <c r="H3" s="5" t="s">
        <v>129</v>
      </c>
      <c r="I3" s="5">
        <v>261481.06</v>
      </c>
      <c r="J3" s="3" t="s">
        <v>129</v>
      </c>
      <c r="K3" s="12" t="s">
        <v>127</v>
      </c>
      <c r="L3" s="3">
        <v>5833</v>
      </c>
      <c r="M3" s="3" t="s">
        <v>126</v>
      </c>
      <c r="N3" s="3" t="s">
        <v>129</v>
      </c>
      <c r="O3" s="3" t="s">
        <v>129</v>
      </c>
      <c r="P3" s="3" t="s">
        <v>129</v>
      </c>
      <c r="Q3" s="3" t="s">
        <v>129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</xm:sqref>
        </x14:dataValidation>
        <x14:dataValidation type="list" allowBlank="1" showInputMessage="1" showErrorMessage="1">
          <x14:formula1>
            <xm:f>Listas!$D$3:$D$8</xm:f>
          </x14:formula1>
          <xm:sqref>F3</xm:sqref>
        </x14:dataValidation>
        <x14:dataValidation type="list" allowBlank="1" showInputMessage="1" showErrorMessage="1">
          <x14:formula1>
            <xm:f>Listas!$A$3:$A$30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129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129</v>
      </c>
      <c r="G8" s="6" t="s">
        <v>129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122</v>
      </c>
      <c r="B27" s="6" t="s">
        <v>123</v>
      </c>
      <c r="C27" s="6" t="s">
        <v>124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2026-03-24T16:32:38Z</dcterms:modified>
</cp:coreProperties>
</file>