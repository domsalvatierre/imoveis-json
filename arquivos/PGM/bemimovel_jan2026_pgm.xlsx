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B4" i="1" l="1"/>
  <c r="I4" i="1"/>
</calcChain>
</file>

<file path=xl/sharedStrings.xml><?xml version="1.0" encoding="utf-8"?>
<sst xmlns="http://schemas.openxmlformats.org/spreadsheetml/2006/main" count="173" uniqueCount="156">
  <si>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</si>
  <si>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</si>
  <si>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</si>
  <si>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</si>
  <si>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</si>
  <si>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</si>
  <si>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</si>
  <si>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</si>
  <si>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</si>
  <si>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</si>
  <si>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</si>
  <si>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</si>
  <si>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</si>
  <si>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</si>
  <si>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</si>
  <si>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</si>
  <si>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</si>
  <si>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</si>
  <si>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</si>
  <si>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</si>
  <si>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</si>
  <si>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</si>
  <si>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</si>
  <si>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</si>
  <si>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</si>
  <si>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</si>
  <si>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</si>
  <si>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</si>
  <si>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</si>
  <si>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</si>
  <si>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</si>
  <si>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</si>
  <si>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</si>
  <si>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</si>
  <si>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</si>
  <si>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</si>
  <si>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</si>
  <si>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</si>
  <si>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</si>
  <si>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</si>
  <si>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</si>
  <si>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</si>
  <si>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</si>
  <si>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</si>
  <si>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</si>
  <si>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</si>
  <si>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</si>
  <si>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</si>
  <si>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</si>
  <si>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</si>
  <si>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</si>
  <si>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</si>
  <si>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</si>
  <si>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</si>
  <si>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</si>
  <si>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</si>
  <si>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</si>
  <si>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</si>
  <si>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</si>
  <si>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</si>
  <si>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</si>
  <si>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</si>
  <si>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</si>
  <si>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</si>
  <si>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</si>
  <si>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</si>
  <si>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</si>
  <si>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</si>
  <si>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</si>
  <si>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</si>
  <si>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</si>
  <si>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</si>
  <si>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</si>
  <si>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</si>
  <si>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</si>
  <si>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</si>
  <si>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</si>
  <si>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</si>
  <si>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</si>
  <si>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</si>
  <si>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</si>
  <si>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</si>
  <si>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</si>
  <si>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</si>
  <si>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</si>
  <si>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</si>
  <si>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</si>
  <si>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</si>
  <si>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</si>
  <si>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</si>
  <si>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</si>
  <si>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</si>
  <si>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</si>
  <si>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</si>
  <si>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</si>
  <si>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</si>
  <si>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</si>
  <si>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</si>
  <si>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</si>
  <si>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</si>
  <si>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</si>
  <si>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</si>
  <si>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</si>
  <si>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</si>
  <si>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</si>
  <si>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</si>
  <si>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</si>
  <si>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</si>
  <si>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</si>
  <si>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</si>
  <si>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</si>
  <si>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</si>
  <si>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</si>
  <si>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</si>
  <si>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</si>
  <si>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</si>
  <si>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</si>
  <si>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</si>
  <si>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</si>
  <si>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</si>
  <si>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</si>
  <si>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</si>
  <si>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OESTE</t>
  </si>
  <si>
    <t>3º OFÍCIO</t>
  </si>
  <si>
    <t>ATIVO</t>
  </si>
  <si>
    <t>SEMSA</t>
  </si>
  <si>
    <t>23000</t>
  </si>
  <si>
    <t>Secretaria Municipal de Saúde</t>
  </si>
  <si>
    <t>Sede da Procuradoria Geral do Município</t>
  </si>
  <si>
    <t>SIGLA UG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</si>
  <si>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</si>
  <si>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</si>
  <si>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</si>
  <si>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</si>
  <si>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</si>
  <si>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</si>
  <si>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</si>
  <si>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</si>
  <si>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</si>
  <si>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</si>
  <si>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</si>
  <si>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Av. Brasil, 2971- Compensa I  -  CEP 69.036-110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</si>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</sst>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zoomScaleNormal="100" workbookViewId="0">
      <pane ySplit="3" topLeftCell="A4" activePane="bottomLeft" state="frozen"/>
      <selection pane="bottomLeft" activeCell="B20" sqref="B20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3" customFormat="1" ht="15.7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2" customFormat="1" ht="15.75" customHeight="1" x14ac:dyDescent="0.2">
      <c r="A2" s="19" t="s">
        <v>155</v>
      </c>
      <c r="B2" s="19" t="s">
        <v>155</v>
      </c>
      <c r="C2" s="21"/>
      <c r="D2" s="21"/>
      <c r="E2" s="21"/>
      <c r="F2" s="21"/>
      <c r="G2" s="21"/>
      <c r="H2" s="21"/>
      <c r="I2" s="21"/>
      <c r="J2" s="21"/>
      <c r="K2" s="18"/>
      <c r="L2" s="21" t="s">
        <v>155</v>
      </c>
      <c r="M2" s="20" t="s">
        <v>142</v>
      </c>
      <c r="N2" s="19" t="s">
        <v>143</v>
      </c>
      <c r="O2" s="19" t="s">
        <v>144</v>
      </c>
      <c r="P2" s="19" t="s">
        <v>145</v>
      </c>
      <c r="Q2" s="19" t="s">
        <v>146</v>
      </c>
      <c r="R2" s="19" t="s">
        <v>147</v>
      </c>
      <c r="S2" s="19" t="s">
        <v>148</v>
      </c>
      <c r="T2" s="19" t="s">
        <v>149</v>
      </c>
      <c r="U2" s="19" t="s">
        <v>150</v>
      </c>
      <c r="V2" s="19" t="s">
        <v>151</v>
      </c>
      <c r="W2" s="19" t="s">
        <v>152</v>
      </c>
      <c r="X2" s="19" t="s">
        <v>153</v>
      </c>
      <c r="Y2" s="19" t="s">
        <v>154</v>
      </c>
    </row>
    <row r="3" spans="1:26" s="2" customFormat="1" ht="25.5" customHeight="1" thickBot="1" x14ac:dyDescent="0.3">
      <c r="A3" s="14" t="s">
        <v>129</v>
      </c>
      <c r="B3" s="15" t="s">
        <v>38</v>
      </c>
      <c r="C3" s="15" t="s">
        <v>132</v>
      </c>
      <c r="D3" s="15" t="s">
        <v>133</v>
      </c>
      <c r="E3" s="15" t="s">
        <v>134</v>
      </c>
      <c r="F3" s="15" t="s">
        <v>135</v>
      </c>
      <c r="G3" s="15" t="s">
        <v>136</v>
      </c>
      <c r="H3" s="15" t="s">
        <v>137</v>
      </c>
      <c r="I3" s="15" t="s">
        <v>138</v>
      </c>
      <c r="J3" s="15" t="s">
        <v>139</v>
      </c>
      <c r="K3" s="15" t="s">
        <v>140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131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6" x14ac:dyDescent="0.2">
      <c r="A4" s="3" t="s">
        <v>51</v>
      </c>
      <c r="B4" s="3" t="str">
        <f>VLOOKUP(A4,Listas!A$3:C$30,3,0)</f>
        <v>Procuradoria Geral do Municipio</v>
      </c>
      <c r="C4" s="11" t="s">
        <v>128</v>
      </c>
      <c r="D4" s="3" t="s">
        <v>122</v>
      </c>
      <c r="E4" s="3" t="s">
        <v>124</v>
      </c>
      <c r="F4" s="3" t="s">
        <v>123</v>
      </c>
      <c r="G4" s="3">
        <v>58872</v>
      </c>
      <c r="H4" s="5"/>
      <c r="I4" s="5">
        <f t="shared" ref="I4" si="0">H4+L4</f>
        <v>0</v>
      </c>
      <c r="J4" s="3"/>
      <c r="K4" s="3" t="s">
        <v>130</v>
      </c>
      <c r="L4" s="5">
        <v>0</v>
      </c>
      <c r="M4" s="9">
        <v>85</v>
      </c>
      <c r="N4" s="10" t="s">
        <v>130</v>
      </c>
      <c r="O4" s="3" t="s">
        <v>130</v>
      </c>
      <c r="P4" s="3" t="s">
        <v>130</v>
      </c>
      <c r="Q4" s="11" t="s">
        <v>141</v>
      </c>
      <c r="R4" s="3" t="s">
        <v>130</v>
      </c>
      <c r="S4" s="12" t="s">
        <v>130</v>
      </c>
      <c r="T4" s="9" t="str">
        <f>VLOOKUP(A4,Listas!A$3:C$30,2,0)</f>
        <v>13101</v>
      </c>
      <c r="U4" s="3" t="s">
        <v>130</v>
      </c>
      <c r="V4" s="3" t="s">
        <v>130</v>
      </c>
      <c r="W4" s="5" t="s">
        <v>130</v>
      </c>
      <c r="X4" s="3" t="s">
        <v>130</v>
      </c>
      <c r="Y4" s="3" t="s">
        <v>130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</xm:sqref>
        </x14:dataValidation>
        <x14:dataValidation type="list" allowBlank="1" showInputMessage="1" showErrorMessage="1">
          <x14:formula1>
            <xm:f>Listas!$D$3:$D$8</xm:f>
          </x14:formula1>
          <xm:sqref>P4</xm:sqref>
        </x14:dataValidation>
        <x14:dataValidation type="list" allowBlank="1" showInputMessage="1" showErrorMessage="1">
          <x14:formula1>
            <xm:f>Listas!$E$3:$E$10</xm:f>
          </x14:formula1>
          <xm:sqref>D4</xm:sqref>
        </x14:dataValidation>
        <x14:dataValidation type="list" allowBlank="1" showInputMessage="1" showErrorMessage="1">
          <x14:formula1>
            <xm:f>Listas!$A$3:$A$30</xm:f>
          </x14:formula1>
          <xm:sqref>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130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130</v>
      </c>
      <c r="G8" s="6" t="s">
        <v>130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125</v>
      </c>
      <c r="B27" s="6" t="s">
        <v>126</v>
      </c>
      <c r="C27" s="6" t="s">
        <v>127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2026-04-28T19:38:32Z</dcterms:modified>
</cp:coreProperties>
</file>