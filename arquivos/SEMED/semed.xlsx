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69330727204\Documents\DPAT\imoveis\TCE\TCE\"/>
    </mc:Choice>
  </mc:AlternateContent>
  <bookViews>
    <workbookView xWindow="0" yWindow="0" windowWidth="28800" windowHeight="12300"/>
  </bookViews>
  <sheets>
    <sheet name="Bens Imóveis" sheetId="1" r:id="rId1"/>
    <sheet name="Listas" sheetId="2" r:id="rId2"/>
  </sheets>
  <definedNames>
    <definedName name="_xlnm._FilterDatabase" localSheetId="0" hidden="1">'Bens Imóveis'!$B$2:$Q$306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" i="1" l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4" i="1"/>
  <c r="C288" i="1" l="1"/>
  <c r="D288" i="1"/>
  <c r="C289" i="1"/>
  <c r="D289" i="1"/>
  <c r="C290" i="1"/>
  <c r="D290" i="1"/>
  <c r="C291" i="1"/>
  <c r="D291" i="1"/>
  <c r="C292" i="1"/>
  <c r="D292" i="1"/>
  <c r="C293" i="1"/>
  <c r="D293" i="1"/>
  <c r="C294" i="1"/>
  <c r="D294" i="1"/>
  <c r="C295" i="1"/>
  <c r="D295" i="1"/>
  <c r="C296" i="1"/>
  <c r="D296" i="1"/>
  <c r="C297" i="1"/>
  <c r="D297" i="1"/>
  <c r="C298" i="1"/>
  <c r="D298" i="1"/>
  <c r="C299" i="1"/>
  <c r="D299" i="1"/>
  <c r="C300" i="1"/>
  <c r="D300" i="1"/>
  <c r="C301" i="1"/>
  <c r="D301" i="1"/>
  <c r="C302" i="1"/>
  <c r="D302" i="1"/>
  <c r="C303" i="1"/>
  <c r="D303" i="1"/>
  <c r="C304" i="1"/>
  <c r="D304" i="1"/>
  <c r="C305" i="1"/>
  <c r="D305" i="1"/>
  <c r="C306" i="1"/>
  <c r="D306" i="1"/>
  <c r="C3" i="1" l="1"/>
  <c r="D3" i="1"/>
  <c r="C4" i="1"/>
  <c r="D4" i="1"/>
  <c r="C5" i="1"/>
  <c r="D5" i="1"/>
  <c r="C6" i="1"/>
  <c r="D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C23" i="1"/>
  <c r="D23" i="1"/>
  <c r="C24" i="1"/>
  <c r="D24" i="1"/>
  <c r="C25" i="1"/>
  <c r="D25" i="1"/>
  <c r="C26" i="1"/>
  <c r="D26" i="1"/>
  <c r="C27" i="1"/>
  <c r="D27" i="1"/>
  <c r="C28" i="1"/>
  <c r="D28" i="1"/>
  <c r="C29" i="1"/>
  <c r="D29" i="1"/>
  <c r="C30" i="1"/>
  <c r="D30" i="1"/>
  <c r="C31" i="1"/>
  <c r="D31" i="1"/>
  <c r="C32" i="1"/>
  <c r="D32" i="1"/>
  <c r="C33" i="1"/>
  <c r="D33" i="1"/>
  <c r="C34" i="1"/>
  <c r="D34" i="1"/>
  <c r="C35" i="1"/>
  <c r="D35" i="1"/>
  <c r="C36" i="1"/>
  <c r="D36" i="1"/>
  <c r="C37" i="1"/>
  <c r="D37" i="1"/>
  <c r="C38" i="1"/>
  <c r="D38" i="1"/>
  <c r="C39" i="1"/>
  <c r="D39" i="1"/>
  <c r="C40" i="1"/>
  <c r="D40" i="1"/>
  <c r="C41" i="1"/>
  <c r="D41" i="1"/>
  <c r="C42" i="1"/>
  <c r="D42" i="1"/>
  <c r="C43" i="1"/>
  <c r="D43" i="1"/>
  <c r="C44" i="1"/>
  <c r="D44" i="1"/>
  <c r="C45" i="1"/>
  <c r="D45" i="1"/>
  <c r="C46" i="1"/>
  <c r="D46" i="1"/>
  <c r="C47" i="1"/>
  <c r="D47" i="1"/>
  <c r="C48" i="1"/>
  <c r="D48" i="1"/>
  <c r="C49" i="1"/>
  <c r="D49" i="1"/>
  <c r="C50" i="1"/>
  <c r="D50" i="1"/>
  <c r="C51" i="1"/>
  <c r="D51" i="1"/>
  <c r="C52" i="1"/>
  <c r="D52" i="1"/>
  <c r="C53" i="1"/>
  <c r="D53" i="1"/>
  <c r="C54" i="1"/>
  <c r="D54" i="1"/>
  <c r="C55" i="1"/>
  <c r="D55" i="1"/>
  <c r="C56" i="1"/>
  <c r="D56" i="1"/>
  <c r="C57" i="1"/>
  <c r="D57" i="1"/>
  <c r="C58" i="1"/>
  <c r="D58" i="1"/>
  <c r="C59" i="1"/>
  <c r="D59" i="1"/>
  <c r="C60" i="1"/>
  <c r="D60" i="1"/>
  <c r="C61" i="1"/>
  <c r="D61" i="1"/>
  <c r="C62" i="1"/>
  <c r="D62" i="1"/>
  <c r="C63" i="1"/>
  <c r="D63" i="1"/>
  <c r="C64" i="1"/>
  <c r="D64" i="1"/>
  <c r="C65" i="1"/>
  <c r="D65" i="1"/>
  <c r="C66" i="1"/>
  <c r="D66" i="1"/>
  <c r="C67" i="1"/>
  <c r="D67" i="1"/>
  <c r="C68" i="1"/>
  <c r="D68" i="1"/>
  <c r="C69" i="1"/>
  <c r="D69" i="1"/>
  <c r="C70" i="1"/>
  <c r="D70" i="1"/>
  <c r="C71" i="1"/>
  <c r="D71" i="1"/>
  <c r="C72" i="1"/>
  <c r="D72" i="1"/>
  <c r="C73" i="1"/>
  <c r="D73" i="1"/>
  <c r="C74" i="1"/>
  <c r="D74" i="1"/>
  <c r="C75" i="1"/>
  <c r="D75" i="1"/>
  <c r="C76" i="1"/>
  <c r="D76" i="1"/>
  <c r="C77" i="1"/>
  <c r="D77" i="1"/>
  <c r="C78" i="1"/>
  <c r="D78" i="1"/>
  <c r="C79" i="1"/>
  <c r="D79" i="1"/>
  <c r="C80" i="1"/>
  <c r="D80" i="1"/>
  <c r="C81" i="1"/>
  <c r="D81" i="1"/>
  <c r="C82" i="1"/>
  <c r="D82" i="1"/>
  <c r="C83" i="1"/>
  <c r="D83" i="1"/>
  <c r="C84" i="1"/>
  <c r="D84" i="1"/>
  <c r="C85" i="1"/>
  <c r="D85" i="1"/>
  <c r="C86" i="1"/>
  <c r="D86" i="1"/>
  <c r="C87" i="1"/>
  <c r="D87" i="1"/>
  <c r="C88" i="1"/>
  <c r="D88" i="1"/>
  <c r="C89" i="1"/>
  <c r="D89" i="1"/>
  <c r="C90" i="1"/>
  <c r="D90" i="1"/>
  <c r="C91" i="1"/>
  <c r="D91" i="1"/>
  <c r="C92" i="1"/>
  <c r="D92" i="1"/>
  <c r="C93" i="1"/>
  <c r="D93" i="1"/>
  <c r="C94" i="1"/>
  <c r="D94" i="1"/>
  <c r="C95" i="1"/>
  <c r="D95" i="1"/>
  <c r="C96" i="1"/>
  <c r="D96" i="1"/>
  <c r="C97" i="1"/>
  <c r="D97" i="1"/>
  <c r="C98" i="1"/>
  <c r="D98" i="1"/>
  <c r="C99" i="1"/>
  <c r="D99" i="1"/>
  <c r="C100" i="1"/>
  <c r="D100" i="1"/>
  <c r="C101" i="1"/>
  <c r="D101" i="1"/>
  <c r="C102" i="1"/>
  <c r="D102" i="1"/>
  <c r="C103" i="1"/>
  <c r="D103" i="1"/>
  <c r="C104" i="1"/>
  <c r="D104" i="1"/>
  <c r="C105" i="1"/>
  <c r="D105" i="1"/>
  <c r="C106" i="1"/>
  <c r="D106" i="1"/>
  <c r="C107" i="1"/>
  <c r="D107" i="1"/>
  <c r="C108" i="1"/>
  <c r="D108" i="1"/>
  <c r="C109" i="1"/>
  <c r="D109" i="1"/>
  <c r="C110" i="1"/>
  <c r="D110" i="1"/>
  <c r="C111" i="1"/>
  <c r="D111" i="1"/>
  <c r="C112" i="1"/>
  <c r="D112" i="1"/>
  <c r="C113" i="1"/>
  <c r="D113" i="1"/>
  <c r="C114" i="1"/>
  <c r="D114" i="1"/>
  <c r="C115" i="1"/>
  <c r="D115" i="1"/>
  <c r="C116" i="1"/>
  <c r="D116" i="1"/>
  <c r="C117" i="1"/>
  <c r="D117" i="1"/>
  <c r="C118" i="1"/>
  <c r="D118" i="1"/>
  <c r="C119" i="1"/>
  <c r="D119" i="1"/>
  <c r="C120" i="1"/>
  <c r="D120" i="1"/>
  <c r="C121" i="1"/>
  <c r="D121" i="1"/>
  <c r="C122" i="1"/>
  <c r="D122" i="1"/>
  <c r="C123" i="1"/>
  <c r="D123" i="1"/>
  <c r="C124" i="1"/>
  <c r="D124" i="1"/>
  <c r="C125" i="1"/>
  <c r="D125" i="1"/>
  <c r="C126" i="1"/>
  <c r="D126" i="1"/>
  <c r="C127" i="1"/>
  <c r="D127" i="1"/>
  <c r="C128" i="1"/>
  <c r="D128" i="1"/>
  <c r="C129" i="1"/>
  <c r="D129" i="1"/>
  <c r="C130" i="1"/>
  <c r="D130" i="1"/>
  <c r="C131" i="1"/>
  <c r="D131" i="1"/>
  <c r="C132" i="1"/>
  <c r="D132" i="1"/>
  <c r="C133" i="1"/>
  <c r="D133" i="1"/>
  <c r="C134" i="1"/>
  <c r="D134" i="1"/>
  <c r="C135" i="1"/>
  <c r="D135" i="1"/>
  <c r="C136" i="1"/>
  <c r="D136" i="1"/>
  <c r="C137" i="1"/>
  <c r="D137" i="1"/>
  <c r="C138" i="1"/>
  <c r="D138" i="1"/>
  <c r="C139" i="1"/>
  <c r="D139" i="1"/>
  <c r="C140" i="1"/>
  <c r="D140" i="1"/>
  <c r="C141" i="1"/>
  <c r="D141" i="1"/>
  <c r="C142" i="1"/>
  <c r="D142" i="1"/>
  <c r="C143" i="1"/>
  <c r="D143" i="1"/>
  <c r="C144" i="1"/>
  <c r="D144" i="1"/>
  <c r="C145" i="1"/>
  <c r="D145" i="1"/>
  <c r="C146" i="1"/>
  <c r="D146" i="1"/>
  <c r="C147" i="1"/>
  <c r="D147" i="1"/>
  <c r="C148" i="1"/>
  <c r="D148" i="1"/>
  <c r="C149" i="1"/>
  <c r="D149" i="1"/>
  <c r="C150" i="1"/>
  <c r="D150" i="1"/>
  <c r="C151" i="1"/>
  <c r="D151" i="1"/>
  <c r="C152" i="1"/>
  <c r="D152" i="1"/>
  <c r="C153" i="1"/>
  <c r="D153" i="1"/>
  <c r="C154" i="1"/>
  <c r="D154" i="1"/>
  <c r="C155" i="1"/>
  <c r="D155" i="1"/>
  <c r="C156" i="1"/>
  <c r="D156" i="1"/>
  <c r="C157" i="1"/>
  <c r="D157" i="1"/>
  <c r="C158" i="1"/>
  <c r="D158" i="1"/>
  <c r="C159" i="1"/>
  <c r="D159" i="1"/>
  <c r="C160" i="1"/>
  <c r="D160" i="1"/>
  <c r="C161" i="1"/>
  <c r="D161" i="1"/>
  <c r="C162" i="1"/>
  <c r="D162" i="1"/>
  <c r="C163" i="1"/>
  <c r="D163" i="1"/>
  <c r="C164" i="1"/>
  <c r="D164" i="1"/>
  <c r="C165" i="1"/>
  <c r="D165" i="1"/>
  <c r="C166" i="1"/>
  <c r="D166" i="1"/>
  <c r="C167" i="1"/>
  <c r="D167" i="1"/>
  <c r="C168" i="1"/>
  <c r="D168" i="1"/>
  <c r="C169" i="1"/>
  <c r="D169" i="1"/>
  <c r="C170" i="1"/>
  <c r="D170" i="1"/>
  <c r="C171" i="1"/>
  <c r="D171" i="1"/>
  <c r="C172" i="1"/>
  <c r="D172" i="1"/>
  <c r="C173" i="1"/>
  <c r="D173" i="1"/>
  <c r="C174" i="1"/>
  <c r="D174" i="1"/>
  <c r="C175" i="1"/>
  <c r="D175" i="1"/>
  <c r="C176" i="1"/>
  <c r="D176" i="1"/>
  <c r="C177" i="1"/>
  <c r="D177" i="1"/>
  <c r="C178" i="1"/>
  <c r="D178" i="1"/>
  <c r="C179" i="1"/>
  <c r="D179" i="1"/>
  <c r="C180" i="1"/>
  <c r="D180" i="1"/>
  <c r="C181" i="1"/>
  <c r="D181" i="1"/>
  <c r="C182" i="1"/>
  <c r="D182" i="1"/>
  <c r="C183" i="1"/>
  <c r="D183" i="1"/>
  <c r="C184" i="1"/>
  <c r="D184" i="1"/>
  <c r="C185" i="1"/>
  <c r="D185" i="1"/>
  <c r="C186" i="1"/>
  <c r="D186" i="1"/>
  <c r="C187" i="1"/>
  <c r="D187" i="1"/>
  <c r="C188" i="1"/>
  <c r="D188" i="1"/>
  <c r="C189" i="1"/>
  <c r="D189" i="1"/>
  <c r="C190" i="1"/>
  <c r="D190" i="1"/>
  <c r="C191" i="1"/>
  <c r="D191" i="1"/>
  <c r="C192" i="1"/>
  <c r="D192" i="1"/>
  <c r="C193" i="1"/>
  <c r="D193" i="1"/>
  <c r="C194" i="1"/>
  <c r="D194" i="1"/>
  <c r="C195" i="1"/>
  <c r="D195" i="1"/>
  <c r="C196" i="1"/>
  <c r="D196" i="1"/>
  <c r="C197" i="1"/>
  <c r="D197" i="1"/>
  <c r="C198" i="1"/>
  <c r="D198" i="1"/>
  <c r="C199" i="1"/>
  <c r="D199" i="1"/>
  <c r="C200" i="1"/>
  <c r="D200" i="1"/>
  <c r="C201" i="1"/>
  <c r="D201" i="1"/>
  <c r="C202" i="1"/>
  <c r="D202" i="1"/>
  <c r="C203" i="1"/>
  <c r="D203" i="1"/>
  <c r="C204" i="1"/>
  <c r="D204" i="1"/>
  <c r="C205" i="1"/>
  <c r="D205" i="1"/>
  <c r="C206" i="1"/>
  <c r="D206" i="1"/>
  <c r="C207" i="1"/>
  <c r="D207" i="1"/>
  <c r="C208" i="1"/>
  <c r="D208" i="1"/>
  <c r="C209" i="1"/>
  <c r="D209" i="1"/>
  <c r="C210" i="1"/>
  <c r="D210" i="1"/>
  <c r="C211" i="1"/>
  <c r="D211" i="1"/>
  <c r="C212" i="1"/>
  <c r="D212" i="1"/>
  <c r="C213" i="1"/>
  <c r="D213" i="1"/>
  <c r="C214" i="1"/>
  <c r="D214" i="1"/>
  <c r="C215" i="1"/>
  <c r="D215" i="1"/>
  <c r="C216" i="1"/>
  <c r="D216" i="1"/>
  <c r="C217" i="1"/>
  <c r="D217" i="1"/>
  <c r="C218" i="1"/>
  <c r="D218" i="1"/>
  <c r="C219" i="1"/>
  <c r="D219" i="1"/>
  <c r="C220" i="1"/>
  <c r="D220" i="1"/>
  <c r="C221" i="1"/>
  <c r="D221" i="1"/>
  <c r="C222" i="1"/>
  <c r="D222" i="1"/>
  <c r="C223" i="1"/>
  <c r="D223" i="1"/>
  <c r="C224" i="1"/>
  <c r="D224" i="1"/>
  <c r="C225" i="1"/>
  <c r="D225" i="1"/>
  <c r="C226" i="1"/>
  <c r="D226" i="1"/>
  <c r="C227" i="1"/>
  <c r="D227" i="1"/>
  <c r="C228" i="1"/>
  <c r="D228" i="1"/>
  <c r="C229" i="1"/>
  <c r="D229" i="1"/>
  <c r="C230" i="1"/>
  <c r="D230" i="1"/>
  <c r="C231" i="1"/>
  <c r="D231" i="1"/>
  <c r="C232" i="1"/>
  <c r="D232" i="1"/>
  <c r="C233" i="1"/>
  <c r="D233" i="1"/>
  <c r="C234" i="1"/>
  <c r="D234" i="1"/>
  <c r="C235" i="1"/>
  <c r="D235" i="1"/>
  <c r="C236" i="1"/>
  <c r="D236" i="1"/>
  <c r="C237" i="1"/>
  <c r="D237" i="1"/>
  <c r="C238" i="1"/>
  <c r="D238" i="1"/>
  <c r="C239" i="1"/>
  <c r="D239" i="1"/>
  <c r="C240" i="1"/>
  <c r="D240" i="1"/>
  <c r="C241" i="1"/>
  <c r="D241" i="1"/>
  <c r="C242" i="1"/>
  <c r="D242" i="1"/>
  <c r="C243" i="1"/>
  <c r="D243" i="1"/>
  <c r="C244" i="1"/>
  <c r="D244" i="1"/>
  <c r="C245" i="1"/>
  <c r="D245" i="1"/>
  <c r="C246" i="1"/>
  <c r="D246" i="1"/>
  <c r="C247" i="1"/>
  <c r="D247" i="1"/>
  <c r="C248" i="1"/>
  <c r="D248" i="1"/>
  <c r="C249" i="1"/>
  <c r="D249" i="1"/>
  <c r="C250" i="1"/>
  <c r="D250" i="1"/>
  <c r="C251" i="1"/>
  <c r="D251" i="1"/>
  <c r="C252" i="1"/>
  <c r="D252" i="1"/>
  <c r="C253" i="1"/>
  <c r="D253" i="1"/>
  <c r="C254" i="1"/>
  <c r="D254" i="1"/>
  <c r="C255" i="1"/>
  <c r="D255" i="1"/>
  <c r="C256" i="1"/>
  <c r="D256" i="1"/>
  <c r="C257" i="1"/>
  <c r="D257" i="1"/>
  <c r="C258" i="1"/>
  <c r="D258" i="1"/>
  <c r="C259" i="1"/>
  <c r="D259" i="1"/>
  <c r="C260" i="1"/>
  <c r="D260" i="1"/>
  <c r="C261" i="1"/>
  <c r="D261" i="1"/>
  <c r="C262" i="1"/>
  <c r="D262" i="1"/>
  <c r="C263" i="1"/>
  <c r="D263" i="1"/>
  <c r="C264" i="1"/>
  <c r="D264" i="1"/>
  <c r="C265" i="1"/>
  <c r="D265" i="1"/>
  <c r="C266" i="1"/>
  <c r="D266" i="1"/>
  <c r="C267" i="1"/>
  <c r="D267" i="1"/>
  <c r="C268" i="1"/>
  <c r="D268" i="1"/>
  <c r="C269" i="1"/>
  <c r="D269" i="1"/>
  <c r="C270" i="1"/>
  <c r="D270" i="1"/>
  <c r="C271" i="1"/>
  <c r="D271" i="1"/>
  <c r="C272" i="1"/>
  <c r="D272" i="1"/>
  <c r="C273" i="1"/>
  <c r="D273" i="1"/>
  <c r="C274" i="1"/>
  <c r="D274" i="1"/>
  <c r="C275" i="1"/>
  <c r="D275" i="1"/>
  <c r="C276" i="1"/>
  <c r="D276" i="1"/>
  <c r="C277" i="1"/>
  <c r="D277" i="1"/>
  <c r="C278" i="1"/>
  <c r="D278" i="1"/>
  <c r="C279" i="1"/>
  <c r="D279" i="1"/>
  <c r="C280" i="1"/>
  <c r="D280" i="1"/>
  <c r="C281" i="1"/>
  <c r="D281" i="1"/>
  <c r="C282" i="1"/>
  <c r="D282" i="1"/>
  <c r="C283" i="1"/>
  <c r="D283" i="1"/>
  <c r="C284" i="1"/>
  <c r="D284" i="1"/>
  <c r="C285" i="1"/>
  <c r="D285" i="1"/>
  <c r="C286" i="1"/>
  <c r="D286" i="1"/>
  <c r="C287" i="1"/>
  <c r="D287" i="1"/>
</calcChain>
</file>

<file path=xl/sharedStrings.xml><?xml version="1.0" encoding="utf-8"?>
<sst xmlns="http://schemas.openxmlformats.org/spreadsheetml/2006/main" count="4084" uniqueCount="428">
  <si>
    <t>ENDEREÇO</t>
  </si>
  <si>
    <t>ZONA</t>
  </si>
  <si>
    <t>CARTÓRIO</t>
  </si>
  <si>
    <t xml:space="preserve">EDIFICAÇÃO 
VALOR (R$) </t>
  </si>
  <si>
    <t>UG</t>
  </si>
  <si>
    <t>VALOR INICIAL DO BEM (R$)</t>
  </si>
  <si>
    <t>Nº AFETAÇÃO</t>
  </si>
  <si>
    <t>DOM AFETAÇÃO</t>
  </si>
  <si>
    <t>LEI DE AFETAÇÃO</t>
  </si>
  <si>
    <t>SITUAÇÃO DE USO</t>
  </si>
  <si>
    <t>ÁREA DO TERRENO (m²)</t>
  </si>
  <si>
    <t>ÁREA CONSTRUIDA (m²)</t>
  </si>
  <si>
    <t>DATA DO ÚLTIMO INVENTÁRIO</t>
  </si>
  <si>
    <t>DATA DE ENTRADA / INCORPORAÇÃO</t>
  </si>
  <si>
    <t>SITUAÇÃO USO</t>
  </si>
  <si>
    <t>Nº TOMBAMENTO</t>
  </si>
  <si>
    <t>TIPO EDIFICAÇÃO</t>
  </si>
  <si>
    <t>Prédio</t>
  </si>
  <si>
    <t>Casa</t>
  </si>
  <si>
    <t>Terreno</t>
  </si>
  <si>
    <t>Norte</t>
  </si>
  <si>
    <t>Sul</t>
  </si>
  <si>
    <t>Leste</t>
  </si>
  <si>
    <t>Oeste</t>
  </si>
  <si>
    <t>Centro-Sul</t>
  </si>
  <si>
    <t>Centro-Oeste</t>
  </si>
  <si>
    <t>Área Rural</t>
  </si>
  <si>
    <t>Área Ribeirinha</t>
  </si>
  <si>
    <t>Ocupado</t>
  </si>
  <si>
    <t>Ocioso</t>
  </si>
  <si>
    <t>Subutilizado</t>
  </si>
  <si>
    <t>Cedido</t>
  </si>
  <si>
    <t>Compartilhado</t>
  </si>
  <si>
    <t>1º Ofício</t>
  </si>
  <si>
    <t>2º Ofício</t>
  </si>
  <si>
    <t>3º Ofício</t>
  </si>
  <si>
    <t>4º Ofício</t>
  </si>
  <si>
    <t>5º Ofício</t>
  </si>
  <si>
    <t>UG - UNIDADE GESTORA</t>
  </si>
  <si>
    <t>CMM</t>
  </si>
  <si>
    <t>SECRETARIA</t>
  </si>
  <si>
    <t>01101</t>
  </si>
  <si>
    <t>Câmara Municipal de Manaus</t>
  </si>
  <si>
    <t>CC</t>
  </si>
  <si>
    <t>11101</t>
  </si>
  <si>
    <t>Casa Civil</t>
  </si>
  <si>
    <t>CC-ERB</t>
  </si>
  <si>
    <t>11103</t>
  </si>
  <si>
    <t>GVP</t>
  </si>
  <si>
    <t>12101</t>
  </si>
  <si>
    <t>Gabinete do Vice-Prefeito</t>
  </si>
  <si>
    <t>PGM</t>
  </si>
  <si>
    <t>13101</t>
  </si>
  <si>
    <t>Procuradoria Geral do Municipio</t>
  </si>
  <si>
    <t>SEMAD</t>
  </si>
  <si>
    <t>14101</t>
  </si>
  <si>
    <t>Secretaria Municipal de Administração e Gestão</t>
  </si>
  <si>
    <t>CM</t>
  </si>
  <si>
    <t>15101</t>
  </si>
  <si>
    <t>Casa Militar</t>
  </si>
  <si>
    <t>SEMEF</t>
  </si>
  <si>
    <t>16101</t>
  </si>
  <si>
    <t xml:space="preserve"> Secretaria Municipal de Finanças, Planejamento e Tecnologia da Informação</t>
  </si>
  <si>
    <t>SEMED</t>
  </si>
  <si>
    <t>18101</t>
  </si>
  <si>
    <t>Secretaria Municipal de Educação</t>
  </si>
  <si>
    <t>SEMCOM</t>
  </si>
  <si>
    <t>19101</t>
  </si>
  <si>
    <t>Secretaria Municipal de Comunicação</t>
  </si>
  <si>
    <t>SEMTEPI</t>
  </si>
  <si>
    <t>21101</t>
  </si>
  <si>
    <t>Secretaria Municipal do Trabalho, Empreendedorismo e Inovação</t>
  </si>
  <si>
    <t>CGM</t>
  </si>
  <si>
    <t>22101</t>
  </si>
  <si>
    <t>Controladoria Geral do Municipio</t>
  </si>
  <si>
    <t>UNIDADE ORÇAMENTÁRIA</t>
  </si>
  <si>
    <t>FMS</t>
  </si>
  <si>
    <t>23701</t>
  </si>
  <si>
    <t>Fundo Municipal de Saúde</t>
  </si>
  <si>
    <t>Secretaria Municipal de Segurança Pública e Defesa Social</t>
  </si>
  <si>
    <t>SEMSEG</t>
  </si>
  <si>
    <t>25101</t>
  </si>
  <si>
    <t>SEMJEL</t>
  </si>
  <si>
    <t>26101</t>
  </si>
  <si>
    <t>Secretaria Municipal de Juventude, Esporte e Lazer</t>
  </si>
  <si>
    <t>SEMINF</t>
  </si>
  <si>
    <t>27101</t>
  </si>
  <si>
    <t>Secretaria Municipal de Infraestrutura</t>
  </si>
  <si>
    <t>SEMMAS</t>
  </si>
  <si>
    <t>28101</t>
  </si>
  <si>
    <t>Secretaria de Meio Ambiente e Sustentabilidade</t>
  </si>
  <si>
    <t>SEMASC</t>
  </si>
  <si>
    <t>Secretaria Municipal da Mulher, Assistência Social e Cidadania</t>
  </si>
  <si>
    <t>37101</t>
  </si>
  <si>
    <t>SEMULSP</t>
  </si>
  <si>
    <t>38101</t>
  </si>
  <si>
    <t>Secretaria Municipal de Limpeza Urbana</t>
  </si>
  <si>
    <t>SEMACC</t>
  </si>
  <si>
    <t>41101</t>
  </si>
  <si>
    <t>Secretaria Municipal de Agricultura, Abastecimento, Centro e Comércio Informal</t>
  </si>
  <si>
    <t>SEMHAF</t>
  </si>
  <si>
    <t>44101</t>
  </si>
  <si>
    <t>Secretaria Municipal de Habitação e Assuntos Fundiários</t>
  </si>
  <si>
    <t>FDT</t>
  </si>
  <si>
    <t>52301</t>
  </si>
  <si>
    <t>Fundação Doutor Thomas</t>
  </si>
  <si>
    <t>IMPLURB</t>
  </si>
  <si>
    <t>56201</t>
  </si>
  <si>
    <t>Instituto Municipal de Planejamento Urbano</t>
  </si>
  <si>
    <t>IMMU</t>
  </si>
  <si>
    <t>58201</t>
  </si>
  <si>
    <t>Instituto Municipal de Mobilidade Urbana</t>
  </si>
  <si>
    <t>MANAUSCULT</t>
  </si>
  <si>
    <t>62301</t>
  </si>
  <si>
    <t>Fundação Municipal de Cultura, Turismo e Eventos</t>
  </si>
  <si>
    <t>MANAUSPREV</t>
  </si>
  <si>
    <t>63201</t>
  </si>
  <si>
    <t>Manaus Previdência</t>
  </si>
  <si>
    <t>AGEMAN</t>
  </si>
  <si>
    <t>Agência Reguladora dos Serviços Públicos Delegados do Município de Manaus</t>
  </si>
  <si>
    <t>70201</t>
  </si>
  <si>
    <t xml:space="preserve">Rua Lago do Rei,S/Nº - Puraquequara - CEP 69.009-075 </t>
  </si>
  <si>
    <t xml:space="preserve">Rua Da Prosperidade,S/Nº  - Compensa II - CEP 69.000-000 </t>
  </si>
  <si>
    <t>R. Eduardo Prado, S/N - Compensa II - CEP 69.035-640 .</t>
  </si>
  <si>
    <t xml:space="preserve">Rua J, S/Nº  - São José II - CEP 69.085-630 </t>
  </si>
  <si>
    <t xml:space="preserve">Rua da Paz,21  - Parque 10 de Novembro - CEP 69.000-000 </t>
  </si>
  <si>
    <t xml:space="preserve">Av. Comandante José Cruz, S/Nº - Lago Azul - CEP 69.018-150 </t>
  </si>
  <si>
    <t xml:space="preserve">Rua São Paulo, S/Nº - Jorge Teixeira - CEP 69.088 - 067 </t>
  </si>
  <si>
    <t>Av. Perimetral, S/Nº - Cidade do Leste - Gilberto Mestrinho - CEP 69.000-000</t>
  </si>
  <si>
    <t>Rua Prímula, S/Nº - Ramal do Asa - Distrito Industrial II -  CEP 69.000.000</t>
  </si>
  <si>
    <t xml:space="preserve">Rua Dom Bosco,996  - Coroado II - CEP 69.080-370  </t>
  </si>
  <si>
    <t xml:space="preserve">Rua 34, 34  - Cidade Nova - CEP 69.099-150 </t>
  </si>
  <si>
    <t>Rua J,S/Nº  - São José II - CEP 69.085-630</t>
  </si>
  <si>
    <t xml:space="preserve">Rua Topázio,52  - Nova Floresta - CEP 69.087-000  </t>
  </si>
  <si>
    <t xml:space="preserve">Rua Thomas Meirelles,S/Nº  - Petrópolis -  CEP 69.067-090 </t>
  </si>
  <si>
    <t xml:space="preserve">Rua Hermínio Barbosa,S/Nº - Morro da Liberdade - CEP 69.074-762 </t>
  </si>
  <si>
    <t xml:space="preserve">Rua Da Paz,01 - Coroado II - CEP 69.080-240 </t>
  </si>
  <si>
    <t xml:space="preserve">Rua C,1843  - Japiim II - CEP 69.076-490 </t>
  </si>
  <si>
    <t>Rua 27 de Outubro,15  - Paz - CEP 69.048-310</t>
  </si>
  <si>
    <t xml:space="preserve">Rua Átila Pedraça,24 - Coroado III -  CEP 69.082-430 </t>
  </si>
  <si>
    <t xml:space="preserve">Rua Abílio Alencar,371 - Alvorada II -CEP 69.000-000 </t>
  </si>
  <si>
    <t xml:space="preserve">Rua São Cristóvão,S/Nº  - Zumbi dos Palmares - CEP 69.084-612 </t>
  </si>
  <si>
    <t xml:space="preserve">Rua 22,S/Nº  - Parque 10 de Novembro - CEP 69.055-400 </t>
  </si>
  <si>
    <t xml:space="preserve">Rua Lauro Bittencourt,S/Nº  - Santo Antônio - CEP 69.029-060 </t>
  </si>
  <si>
    <t xml:space="preserve">Rua 26,S/Nº - Japiim I - CEP 69.000-000 </t>
  </si>
  <si>
    <t xml:space="preserve">Rua Arthur Cruz,S/Nº - Japiinlândia - CEP 69.000-000 </t>
  </si>
  <si>
    <t xml:space="preserve">Rua Xilhere,S/Nº  - Armando Mendes - CEP 69.089-140 </t>
  </si>
  <si>
    <t xml:space="preserve">Rua 5 de Setembro,S/Nº  - São Raimundo -  CEP 69.000-000 </t>
  </si>
  <si>
    <t xml:space="preserve">Av. Atroaris,S/Nº - Cidade Nova -  CEP 69.090-220 </t>
  </si>
  <si>
    <t xml:space="preserve">Av. Borba,S/Nº - Cachoeirinha - CEP 69.065-030 </t>
  </si>
  <si>
    <t xml:space="preserve">Rua 16 de Agosto,S/Nº - Cidade Nova - CEP 69.095-230 </t>
  </si>
  <si>
    <t xml:space="preserve">Rua A - 12,S/Nº  - Planalto -  CEP 69.046-140 </t>
  </si>
  <si>
    <t xml:space="preserve">Rua José Maria,2  - Colônia Antônio Aleixo - CEP 69.008-200 </t>
  </si>
  <si>
    <t xml:space="preserve">Rua GAMA FARIAS,S/Nº  - Nova Esperança II - CEP 69.037-480 </t>
  </si>
  <si>
    <t xml:space="preserve">Rua Jurema,42 - Bairro da Paz - CEP 69.048-191 </t>
  </si>
  <si>
    <t xml:space="preserve">Rua Benjamin,S/Nº - Aliança com Deus - CEP 69.000-000 </t>
  </si>
  <si>
    <t>Rua 89,10 - Cidade Nova - CEP 69.099-750 - Manaus - AM</t>
  </si>
  <si>
    <t xml:space="preserve">Rua Encontro das Águas,S/Nº  - Mauazinho - CEP 69.075-300 </t>
  </si>
  <si>
    <t>Rua Santa Barbara,S/Nº - Bairro da União - Parque 10 de Novembro -  CEP 69.054-580</t>
  </si>
  <si>
    <t xml:space="preserve">Rua I,S/Nº, Q22  - Armando Mendes - CEP 69.089-130 </t>
  </si>
  <si>
    <t xml:space="preserve">Rua A, Arterial com Rua F,S/Nº  - Lago Azul - CEP 69.000-000 </t>
  </si>
  <si>
    <t xml:space="preserve">Rua 16,2  - Lírio do Vale II -  CEP 69.038-287 </t>
  </si>
  <si>
    <t xml:space="preserve">Rua Vitória Régia,S/Nº  - Gilberto Mestrinho - CEP 69.000-200 </t>
  </si>
  <si>
    <t xml:space="preserve">Rua Boulevard Rio Negro,S/Nº - Educandos - CEP 69.070-130 </t>
  </si>
  <si>
    <t xml:space="preserve">Rua da Estanave,S/Nº  - Compensa II - CEP 69.035-360 </t>
  </si>
  <si>
    <t xml:space="preserve">Rua Paraíso do Tocantins,S/Nº  - Cidade Nova I - CEP 69.090-807 </t>
  </si>
  <si>
    <t xml:space="preserve">Rua Kiruna,S/Nº  - Cidade Nova - CEP 69.097-000 </t>
  </si>
  <si>
    <t xml:space="preserve">Rua 02,S/Nº, Conjunto Boas Novas - Cidade Nova - CEP 69.000-000 </t>
  </si>
  <si>
    <t xml:space="preserve">Rua Boa Esperança,S/Nº - Crespo -  CEP 69.073-150  </t>
  </si>
  <si>
    <t xml:space="preserve">Rua Campo do Roma - Novo Aleixo -  CEP 69.000-000 </t>
  </si>
  <si>
    <t xml:space="preserve">Rua Penetração,2  - São José II - CEP 69.000-000 </t>
  </si>
  <si>
    <t xml:space="preserve">Rua Nova Esperança,S/Nº - Colônia Antônio Aleixo - CEP 69.008-110 </t>
  </si>
  <si>
    <t xml:space="preserve">Rua Aurélio Pinheiro,S/Nº - Cidade Nova - CEP 69.099-069 </t>
  </si>
  <si>
    <t xml:space="preserve">Rua Alvares Azevedo,S/Nº - Compensa - CEP 69.036-410 </t>
  </si>
  <si>
    <t xml:space="preserve">Rua Dom Marcos de Noronha,S/Nº - Santa Etelvina - CEP 69.059-632 </t>
  </si>
  <si>
    <t xml:space="preserve">Av. Solimões,S/Nº - Distrito Industrial - CEP 69.075-200 </t>
  </si>
  <si>
    <t>Rua Ibirapitinga,S/Nº - Comunidade Osvaldo Frota - Cidade Nova - CEP 69.095-512</t>
  </si>
  <si>
    <t xml:space="preserve">Rua Sebastião Romano,S/Nº - Compensa - CEP 69.036-340 </t>
  </si>
  <si>
    <t xml:space="preserve">Av. Autaz Mirim,S/Nº - Armando Mendes - CEP 69.089-000 </t>
  </si>
  <si>
    <t xml:space="preserve">Av. Raimundo Salgado,S/Nº,  Conjunto Águas Claras - Novo Aleixo - CEP 69.098-025 </t>
  </si>
  <si>
    <t xml:space="preserve">Av. ITAUBA,S/Nº - Jorge Teixeira - CEP 69.088-240  </t>
  </si>
  <si>
    <t xml:space="preserve">Rua Mutum - Etê,S/Nº - Jorge Teixeira - CEP 69.088-146 </t>
  </si>
  <si>
    <t xml:space="preserve">Rua 16 de Agosto,S/Nº  - Cidade Nova I - CEP 69.095-230 </t>
  </si>
  <si>
    <t xml:space="preserve">Rua Piratini,S/Nº - Zumbi dos Palmares - CEP 69.084-050 </t>
  </si>
  <si>
    <t xml:space="preserve">Rua Itiquira, S/Nº - Conjunto Américo Medeiros - Cidade Nova -  CEP 69.097-748 </t>
  </si>
  <si>
    <t xml:space="preserve">Rua Fazendinha,S/Nº  - Cidade Nova - CEP 69.000-000 </t>
  </si>
  <si>
    <t xml:space="preserve">Rua dos Paraibanos, S/Nº - Cidade de Deus - 69.099-181 </t>
  </si>
  <si>
    <t xml:space="preserve">TRua A3,S/Nº - São José - CEP 69.000-000 </t>
  </si>
  <si>
    <t xml:space="preserve">Paran Sumaúma,00 - Rio Negro - Área Ribeirinha - CEP 69.000-000 </t>
  </si>
  <si>
    <t xml:space="preserve">Rua 11, 9  - São José IV - CEP 69.086-120 </t>
  </si>
  <si>
    <t xml:space="preserve">Rua Rosarinho,S/Nº - São José I - CEP 69.085-070 </t>
  </si>
  <si>
    <t xml:space="preserve">Rua 27,S/Nº  - Cidade de Deus - CEP 69.000-000 </t>
  </si>
  <si>
    <t xml:space="preserve">Rd. Torquato Tapajós,1181, Km 19  - AM-010 - Área Terrestre - CEP 69.000-000 </t>
  </si>
  <si>
    <t xml:space="preserve">Rua 13 de Maio,S/Nº - Novo Israel - CEP 69.039-382  </t>
  </si>
  <si>
    <t xml:space="preserve">Rua Epitácio Pessoa,9  - São Lázaro - CEP 69.073-520 </t>
  </si>
  <si>
    <t xml:space="preserve">Rua 9,101 - Cidade de Deus - CEP 69.000-000 </t>
  </si>
  <si>
    <t>Rua ROGÉRIO MAGALHÃES,23 - Cidade Nova II - CEP 69.000-000</t>
  </si>
  <si>
    <t>Av. Airton Sena,S/Nº  - Tarumã - CEP 69.000-000</t>
  </si>
  <si>
    <t xml:space="preserve">Av. Penetração II, 5 - São José II - CEP 69.086-550 </t>
  </si>
  <si>
    <t xml:space="preserve">Rua 2 de Agosto, 79 - Flores - CEP 69.050-670 </t>
  </si>
  <si>
    <t xml:space="preserve">Rua Itapemirim,S/Nº  - Colônia Terra Nova II - CEP 69.093-098 </t>
  </si>
  <si>
    <t xml:space="preserve">Rua I, 75 - Armando Mendes - CEP 69.089-130 </t>
  </si>
  <si>
    <t xml:space="preserve">Rua J, 100 - São José II - CEP 69.085-630 </t>
  </si>
  <si>
    <t xml:space="preserve">Rua Paraiba,980 - Coroado II - CEP 69.080-270 </t>
  </si>
  <si>
    <t xml:space="preserve">Rua Das Esmeraldas,S/Nº  - Tancredo Neves - CEP 69.087-055 </t>
  </si>
  <si>
    <t xml:space="preserve">Est. Manaus Caracaraí,Km 15 - BR 174 - Área Terrestre - CEP 69.000-000 </t>
  </si>
  <si>
    <t xml:space="preserve">Rua Hugo de Abreu,24  - Coroado III - CEP 69.082-110 </t>
  </si>
  <si>
    <t xml:space="preserve">Rua 11, 130  - São José II - CEP 69.083-690 </t>
  </si>
  <si>
    <t>Lago do Mipindiaú,S/Nº - Rio Negro - Área Ribeirinha - CEP 69.000-000</t>
  </si>
  <si>
    <t xml:space="preserve">Rio Paraná da Eva,S/Nº - Rio Amazonas - Área Ribeirinha - CEP 69.000-000 </t>
  </si>
  <si>
    <t xml:space="preserve">Lago Tarumã,S/Nº - Rio Negro - Área Ribeirinha - CEP 69.000-000 </t>
  </si>
  <si>
    <t xml:space="preserve">Est. dos Expedicionários,S/Nº  - Compensa I - CEP 69.000-000 </t>
  </si>
  <si>
    <t xml:space="preserve">Rm. Comunidade Bom Jesus,Km 25 - AM-010 - Área Terrestre - CEP 69.000-000 </t>
  </si>
  <si>
    <t xml:space="preserve">Rua Nossa Senhora das Graças,S/Nº  - Colônia Terra Nova II - CEP 69.093-480 </t>
  </si>
  <si>
    <t xml:space="preserve">Rua Barreirinha,500 - São José I - CEP 69.085-180  </t>
  </si>
  <si>
    <t xml:space="preserve">Rua Santo Antônio,266 - Coroado II - CEP 69.080-271 </t>
  </si>
  <si>
    <t xml:space="preserve">Rua Capim Santo,S/Nº - João Paulo II -  CEP 69.088-460 </t>
  </si>
  <si>
    <t xml:space="preserve">Rua DA PENETRAÇÃO,S/Nº - Parque Dez -  CEP 69.000-000 </t>
  </si>
  <si>
    <t>Rua 27,Qd 124, S/Nº - Novo Aleixo - CEP 69.000-000</t>
  </si>
  <si>
    <t>Rua Abílio Alencar, 371 - Alvorada - CEP 69.042-010</t>
  </si>
  <si>
    <t xml:space="preserve">Igara Jaraqui,S/Nº - Rio Negro - Área Ribeirinha - CEP 69.000-000 </t>
  </si>
  <si>
    <t>Rua Crato,101 - Cidade Nova I - CEP 69.097-000 - Manaus - AM</t>
  </si>
  <si>
    <t xml:space="preserve">Rua Verbaco,S/Nº - Jorge Teixeira - CEP 69.088-340  </t>
  </si>
  <si>
    <t xml:space="preserve">Rua Canarinho,S/Nº  - Novo Aleixo - CEP 69.082-826 </t>
  </si>
  <si>
    <t xml:space="preserve">Av. Monsenhor Pinto,S/Nº  - Monte das Oliveiras -  CEP 69.000-000 </t>
  </si>
  <si>
    <t xml:space="preserve">Rua Profº Abilio Alencar,S/Nº  - Alvorada III -CEP 69.000-000 </t>
  </si>
  <si>
    <t xml:space="preserve">Av. Santos Dias,S/Nº - Cidade Nova II -  CEP 69.000-000 </t>
  </si>
  <si>
    <t xml:space="preserve">Av. Batrum,S/Nº - Tancredo Neves - CEP 69.087-641 </t>
  </si>
  <si>
    <t xml:space="preserve">Rua Acari,10 - Jorge Teixeira III - CEP 69.000-000 </t>
  </si>
  <si>
    <t xml:space="preserve">Rua Aurélio Pinheiro,S/Nº  - Novo Aleixo -  CEP 69.099-069 </t>
  </si>
  <si>
    <t xml:space="preserve">Rua Walter Rayol,S/Nº - Presidente Vargas - CEP 69.025-390 </t>
  </si>
  <si>
    <t xml:space="preserve">Lago Tarumãzinho,S/Nº - Rio Negro - Área Ribeirinha - CEP 69.000-000 </t>
  </si>
  <si>
    <t xml:space="preserve">Rua Tiradentes,S/Nº  - Santo Agostinho -  CEP 69.000-000 </t>
  </si>
  <si>
    <t>Av. F,S/Nº - Alvorada I - CEP 69.000-000</t>
  </si>
  <si>
    <t xml:space="preserve">Rua 23 de Dezembro,70 - Compensa II - CEP 69.000-000 </t>
  </si>
  <si>
    <t xml:space="preserve">Est. DO BRASILEIRINHO,S/Nº - Puraquequara - CEP 69.000-000 </t>
  </si>
  <si>
    <t xml:space="preserve">Rua Rio Servine,480 - Armando Mendes - CEP 69.089-170 </t>
  </si>
  <si>
    <t xml:space="preserve">Rua A,S/Nº  - Cidade Nova - CEP 69.000-000 </t>
  </si>
  <si>
    <t xml:space="preserve">Rua Miratinga,S/Nº - Jorge Teixeira III - CEP 69.088-501 </t>
  </si>
  <si>
    <t xml:space="preserve">Rio Rio Negro,S/Nº - Comunidade Novo Canaã - Área Ribeirinha - CEP 69.000-000 </t>
  </si>
  <si>
    <t xml:space="preserve">Rua Wolfang Nogueira,S/Nº - Coroado - CEP 69.000-000 - </t>
  </si>
  <si>
    <t xml:space="preserve">Rua 11, 440 - Alvorada III - CEP 69.042-120 </t>
  </si>
  <si>
    <t xml:space="preserve">Rua J,S/Nº  - São José II - CEP 69.085-630 </t>
  </si>
  <si>
    <t xml:space="preserve">Lago Puraquequara,S/Nº - S.Francisco - Área Ribeirinha - CEP 69.000-000 </t>
  </si>
  <si>
    <t xml:space="preserve">Rio Apuaú,00 - Rio Negro - Área Ribeirinha - CEP 69.000-000 </t>
  </si>
  <si>
    <t xml:space="preserve">Rua Bernardo Cabral,175 - Tancredo Neves - CEP 69.087-290 </t>
  </si>
  <si>
    <t xml:space="preserve">Rua Princesa Dayana,S/Nº  - Puraquequara - CEP 69.000-000 </t>
  </si>
  <si>
    <t xml:space="preserve">Lago Grande,S/Nº  - Rio Amazonas - Área Ribeirinha - CEP 69.000-000 </t>
  </si>
  <si>
    <t xml:space="preserve">Rua SÃO PAULO,03 - Santo Antônio - CEP 69.000-000 </t>
  </si>
  <si>
    <t xml:space="preserve">Rua H, 23 - Armando Mendes - CEP 69.089-131 </t>
  </si>
  <si>
    <t xml:space="preserve">Rua Lábrea,S/Nº - Grande Vitória - CEP 69.000-000  </t>
  </si>
  <si>
    <t xml:space="preserve">Rua Monte Alegre,S/Nº - Tancredo Neves - CEP 69.087-040 </t>
  </si>
  <si>
    <t xml:space="preserve">Av. Rodrigo Otávio,S/Nº - Crespo -  CEP 69.068-000 </t>
  </si>
  <si>
    <t xml:space="preserve">Av. Luís de Camões,S/Nº - Santo Antônio - CEP 69.029-090 </t>
  </si>
  <si>
    <t xml:space="preserve">Av. ITAUBA,S/Nº  Comunidade João Paulo II - Jorge Teixeira -  CEP 69.088-240 </t>
  </si>
  <si>
    <t xml:space="preserve">Rua São João,171 - Coroado III - CEP 69.082-260 </t>
  </si>
  <si>
    <t xml:space="preserve">Rua Autaz Mirim,S/Nº - Jorge Teixeira - CEP 69.088-245 </t>
  </si>
  <si>
    <t xml:space="preserve">Rua 7, S/Nº  - São José II -  CEP 69.086-460 </t>
  </si>
  <si>
    <t>Rua São Benedito,S/Nº  - Morro da Liberdade - CEP 69.074-760</t>
  </si>
  <si>
    <t xml:space="preserve">Rua 06,S/Nº - Tarumã - CEP 69.000-000 </t>
  </si>
  <si>
    <t xml:space="preserve">Rua 173,Qd 132, nº 17, N 15 - Novo Aleixo - CEP 69.000-000 </t>
  </si>
  <si>
    <t xml:space="preserve">Rua Sávio Belota,S/Nº  - Novo Aleixo - CEP 69.095-000 </t>
  </si>
  <si>
    <t xml:space="preserve">Rua Wagner,S/Nº  - Paz - CEP 69.048-000 </t>
  </si>
  <si>
    <t xml:space="preserve">Rua São Cristóvão,15 - Zumbi dos Palmares -  CEP 69.084-612 </t>
  </si>
  <si>
    <t xml:space="preserve">Est. Puraquequara,Km 5 - Puraquequara - CEP 69.000-000 </t>
  </si>
  <si>
    <t xml:space="preserve">Rua Comandante Ferraz,654 - Betânia - CEP 69.073-060 </t>
  </si>
  <si>
    <t>Rua Boa Esperança,S/Nº - Crespo - CEP 69.073-150 - Manaus - AM</t>
  </si>
  <si>
    <t xml:space="preserve">Rua Nova Esperança,05  - Tancredo Neves - CEP 69.087-380 </t>
  </si>
  <si>
    <t>Rua Santa Mônica,S/Nº - Monte das Oliveiras - CEP 69.000-000</t>
  </si>
  <si>
    <t xml:space="preserve">Rua DRua Thomas,S/Nºº  - Nossa Senhora das Graças - CEP 69.000-000 </t>
  </si>
  <si>
    <t xml:space="preserve">Rua Q,362  - Jorge Teixeira - CEP 69.000-000 </t>
  </si>
  <si>
    <t xml:space="preserve">Rd. Torquato Tapajós,Km 17 - AM-010 - Área Terrestre - CEP 69.000-000 </t>
  </si>
  <si>
    <t xml:space="preserve">Rio Tarumãnzinho,00  Comunidade Nossa Senhora de Fátima - Rio Negro - Área Ribeirinha - CEP 69.000-000 </t>
  </si>
  <si>
    <t xml:space="preserve">Rua Guanabara,S/Nº  - Santa Luzia - CEP 69.074-520 </t>
  </si>
  <si>
    <t xml:space="preserve">Rio Cuieiras,S/Nº  - Comunidade Indígena Três Unidos - Área Ribeirinha - CEP 69.000-000 </t>
  </si>
  <si>
    <t xml:space="preserve">Rd. Torquato Tapajós,Km 20 - AM-010 - Área Terrestre - CEP 69.000-000 </t>
  </si>
  <si>
    <t xml:space="preserve">Rua Xiborena,S/Nº  - São José I - CEP 69.085-200 </t>
  </si>
  <si>
    <t xml:space="preserve">Rua Padre Mário,26 - Colônia Antônio Aleixo - CEP 69.008-120 </t>
  </si>
  <si>
    <t xml:space="preserve">Rua Santa Inês,106  - Lírio do Vale I - CEP 69.000-000 </t>
  </si>
  <si>
    <t>Rua Rosa de Maio,S/Nº - Colônia Santo Antônio - CEP 69.093-320</t>
  </si>
  <si>
    <t>Est. Manaus Caracaraí,S/Nº - Km 18 -  Área Terrestre - CEP 69.068-000 - Itacoatiara - AM</t>
  </si>
  <si>
    <t xml:space="preserve">Paran de Anavilhanas,S/Nº - Rio Negro - Área Ribeirinha - CEP 69.000-000 </t>
  </si>
  <si>
    <t xml:space="preserve">Rua Tudy Moutinho,S/Nº - Novo Israel - CEP 69.039-110 </t>
  </si>
  <si>
    <t xml:space="preserve">Rua ONIX,S/Nº - Jorge Teixeira - CEP 69.087-040 </t>
  </si>
  <si>
    <t xml:space="preserve">Rd. Torquato Tapajós,Km 42 - AM-010 - Área Terrestre - CEP 69.000-000 </t>
  </si>
  <si>
    <t xml:space="preserve">Via Bom Sucesso,S/Nº - Costa do Tabocal - Área Ribeirinha - CEP 69.000-999 </t>
  </si>
  <si>
    <t xml:space="preserve">Av. Turismo,Km 03 - Tarumã - CEP 69.041-010  </t>
  </si>
  <si>
    <t xml:space="preserve">Rua J, 255 - São José I - CEP 69.000-000 </t>
  </si>
  <si>
    <t xml:space="preserve">Av. Autaz Mirim, 9018 - Jorge Teixeira - CEP 69.088-245 </t>
  </si>
  <si>
    <t xml:space="preserve">Av. São João,S/Nº - Km 4 - Área Terrestre - CEP 69.048-990 </t>
  </si>
  <si>
    <t xml:space="preserve">TRua PARAGUAÇU, 21 - Vila da Prata - CEP 69.000-000 </t>
  </si>
  <si>
    <t>Rua José Lourenço de Aguiar,2007, Qd 203 - Alvorada - CEP 69.000-000</t>
  </si>
  <si>
    <t xml:space="preserve">Paran Chiita,S/Nº - Rio Negro - Área Ribeirinha - CEP 69.000-000 </t>
  </si>
  <si>
    <t xml:space="preserve">Rua OSCAR BOREL,S/Nº - Compensa II - CEP 69.035-210 </t>
  </si>
  <si>
    <t xml:space="preserve">Rua Belford Roxo,S/Nº - Jorge Teixeira - CEP 69.000-000 </t>
  </si>
  <si>
    <t xml:space="preserve">Rua do Platô,185 - Compensa II - CEP 69.000-000 </t>
  </si>
  <si>
    <t xml:space="preserve">Est. Puraquequara,00  - Puraquequara - CEP 69.000-000 </t>
  </si>
  <si>
    <t xml:space="preserve">Baixo Rio Preto da Eva, Comunidade Itapiúna - Rio Amazonas - Área Ribeirinha - CEP 69.000-000 </t>
  </si>
  <si>
    <t xml:space="preserve">Rua Inácio Guimarães,S/Nº - Educandos - CEP 69.070-210 </t>
  </si>
  <si>
    <t>Rua São Pedro,S/Nº - Tarumã - CEP 69.000-000</t>
  </si>
  <si>
    <t xml:space="preserve">Rua Bem te vi,S/Nº - Cidade Nova - CEP 69.099-330 </t>
  </si>
  <si>
    <t xml:space="preserve">Rua João Alfredo,S/Nº - Bairro da Paz - CEP 69.000-000 </t>
  </si>
  <si>
    <t xml:space="preserve">Rua Padre Mário, 211 - Colônia Antônio Aleixo - CEP 69.008-120 </t>
  </si>
  <si>
    <t xml:space="preserve">Costa do Tabocal,S/Nº - Rio Amazonas - Área Ribeirinha - CEP 69.000-000 </t>
  </si>
  <si>
    <t>Rio Paraná da Eva - Rio Amazonas - Área Ribeirinha - CEP 69.000-000</t>
  </si>
  <si>
    <t xml:space="preserve">Rua JERUSALÉM,S/Nº - Mauazinho - CEP 69.075-320 </t>
  </si>
  <si>
    <t xml:space="preserve">Rua Vista Alegre,S/Nº  - Parque 10 de Novembro - CEP 69.055-520 </t>
  </si>
  <si>
    <t xml:space="preserve">Rua dos Inocentes,S/Nº - Glória - CEP 69.027-630 </t>
  </si>
  <si>
    <t xml:space="preserve">Est. Manaus Caracaraí,S/Nº - Km 14 - Área Terrestre - CEP 69.000-000 </t>
  </si>
  <si>
    <t xml:space="preserve">Rua Nova República,13 - Colônia Antônio Aleixo - CEP 69.000-000 </t>
  </si>
  <si>
    <t xml:space="preserve">Rua Adalberto Vale,58 - Betânia - CEP 69.073-040 </t>
  </si>
  <si>
    <t xml:space="preserve">Rua José Monteiro,S/Nº  - Japiinlândia - CEP 69.078-400 </t>
  </si>
  <si>
    <t xml:space="preserve">Rua JOÃO DO NASCIMENTO MARQUES,11 - São José I - CEP 69.000-000 </t>
  </si>
  <si>
    <t xml:space="preserve">Rua Das Samambaias,S/Nº - Santa Etelvina - CEP 69.000-000 </t>
  </si>
  <si>
    <t xml:space="preserve">Rua Lírio,S/Nº - Tancredo Neves - CEP 69.000-000  </t>
  </si>
  <si>
    <t xml:space="preserve">Rua Pe. Marcelino Champagnat,S/Nº - Zumbi dos Palmares -  CEP 69.084-430 </t>
  </si>
  <si>
    <t xml:space="preserve">Est. do Bombeamento,100 - Compensa III - CEP 69.000-000 </t>
  </si>
  <si>
    <t xml:space="preserve">Rua Ituí,S/Nº - Novo Reino - CEP 69.087-658 </t>
  </si>
  <si>
    <t xml:space="preserve">Rua Peixe Agulha,S/Nº - Jorge Teixeira - CEP 69.088-461 </t>
  </si>
  <si>
    <t xml:space="preserve">Rua Bom Jesus,S/Nº - Mauazinho - CEP 69.075-280 </t>
  </si>
  <si>
    <t xml:space="preserve">Rua Barão do Rio Branco,01 - Flores - CEP 69.058-581 </t>
  </si>
  <si>
    <t xml:space="preserve">Rua 28 de Agosto,S/Nº - Jorge Teixeira IV - CEP 69.088-063 </t>
  </si>
  <si>
    <t xml:space="preserve">Rua do Comércio,36 - Santa Etelvina - CEP 69.059-170 </t>
  </si>
  <si>
    <t xml:space="preserve">Av. do Cetur,14, Qd S  - Tarumã - CEP 69.022-155  </t>
  </si>
  <si>
    <t xml:space="preserve">Rua Chico Mendes,S/Nº - Zumbi dos Palmares - CEP 69.084-060 </t>
  </si>
  <si>
    <t xml:space="preserve">Al. Rio Negro,S/Nº  - Colônia Terra Nova - CEP 69.000-000 </t>
  </si>
  <si>
    <t xml:space="preserve">Rua Sumaré,S/Nº - Jorge Teixeira IV - CEP 69.088-301 </t>
  </si>
  <si>
    <t xml:space="preserve">Rd. Torquato Tapajós,Km 32 - AM-010 - Área Terrestre - CEP 69.000-000 </t>
  </si>
  <si>
    <t xml:space="preserve">Rua Curica, 50 - São José II - CEP 69.086-182 </t>
  </si>
  <si>
    <t xml:space="preserve">Rua Voluntário da Patria,S/Nº - Vila da Prata - CEP 69.000-000 </t>
  </si>
  <si>
    <t xml:space="preserve">Rua 20, 61 - Japiim I - CEP 69.000-000 </t>
  </si>
  <si>
    <t>Rua Hortelã,S/Nº - Jorge Teixeira - CEP 69.088-465</t>
  </si>
  <si>
    <t xml:space="preserve">Rm. da Cooperativa,Km 12 - Área Terrestre - CEP 69.068-000 </t>
  </si>
  <si>
    <t xml:space="preserve">Rua Xavante,S/Nº - Colônia Terra Nova - CEP 69.093-074 </t>
  </si>
  <si>
    <t xml:space="preserve">Av. Grande Circular, 7277 - Tancredo Neves - CEP 69.099-780 </t>
  </si>
  <si>
    <t xml:space="preserve">Rm. Pau Rosa, Km 16 - Área Terrestre - CEP 69.068-000 </t>
  </si>
  <si>
    <t xml:space="preserve">Rua Beta,19 - Cidade Nova - CEP 69.090-430 </t>
  </si>
  <si>
    <t xml:space="preserve">Est. Manaus Caracaraí,Km 21 - BR 174 - Área Terrestre - CEP 69.000-000 </t>
  </si>
  <si>
    <t>Igara do Tiú,S/Nº - Rio Negro - Área Ribeirinha - CEP 69.000-000</t>
  </si>
  <si>
    <t xml:space="preserve">Tarum Mirim,S/Nº - Rio Negro - Área Ribeirinha - CEP 69.000-000 </t>
  </si>
  <si>
    <t xml:space="preserve">Rua Natal,S/Nº - Compensa II - CEP 69.000-000 </t>
  </si>
  <si>
    <t xml:space="preserve">Rua SÃO SEBASTIÃO, S/Nº - Novo Israel II - CEP 69.039-104 </t>
  </si>
  <si>
    <t xml:space="preserve">Rua 1º de Junho,S/Nº - Zumbi dos Palmares - CEP 69.084-442 </t>
  </si>
  <si>
    <t xml:space="preserve">Rua Marquesa de Santos,110  - Coroado I - CEP 69.080-000 </t>
  </si>
  <si>
    <t xml:space="preserve">Av. Gergelim,S/Nº  - João Paulo II - CEP 69.000-000 </t>
  </si>
  <si>
    <t xml:space="preserve">Rua 217,Tv. 03, S/Nº, N 16 - Novo Aleixo - CEP 69.000-000 </t>
  </si>
  <si>
    <t xml:space="preserve">Rua Curuanã,175 - Compensa II - CEP 69.035-341  </t>
  </si>
  <si>
    <t xml:space="preserve">Rua Monte Sião,S/Nº - Jorge Teixeira - CEP 69.000-000 </t>
  </si>
  <si>
    <t xml:space="preserve">Est. da Vivenda Verde,S/Nº - Tarumã - CEP 69.000-000 </t>
  </si>
  <si>
    <t>Rua Puruí,S/Nº - Jorge Teixeira - CEP 69.000-000</t>
  </si>
  <si>
    <t xml:space="preserve">Rio Negro,S/Nº - Comunidade Santa Izabel -  Área Ribeirinha - CEP 69.000-000 </t>
  </si>
  <si>
    <t xml:space="preserve">Rua Piricacas,S/Nº - Cidade de Deus - CEP 69.000-000 </t>
  </si>
  <si>
    <t>Rua Jacy,S/Nº - Flores - CEP 69.028-315</t>
  </si>
  <si>
    <t>Rua Rio Piratucu,S/Nº, Colina do Aleixo - São José Operário -CEP 69.085-293</t>
  </si>
  <si>
    <t xml:space="preserve">Rua das Azaléias,01 - Jorge Teixeira I - CEP 69.088-050 </t>
  </si>
  <si>
    <t xml:space="preserve">Rua Estrela de Davi,S/Nº - Novo Israel - CEP 69.039-733 </t>
  </si>
  <si>
    <t>Rio Cuieiras,S/Nº - Comunidade Novo Canaã - Área Ribeirinha - CEP 69.000-000</t>
  </si>
  <si>
    <t xml:space="preserve">Rua ITACOLOMY,S/Nº - Armando Mendes - CEP 69.089-321 </t>
  </si>
  <si>
    <t xml:space="preserve">Lago Puraquequara - Rio Amazonas - Área Ribeirinha - CEP 69.000-000 </t>
  </si>
  <si>
    <t xml:space="preserve">Av. Santos Dias,S/Nº - Cidade Nova I - CEP 69.095-001 </t>
  </si>
  <si>
    <t xml:space="preserve">Baixo Rio Preto da Eva - Rio Amazonas - Área Ribeirinha - CEP 69.000-000 </t>
  </si>
  <si>
    <t xml:space="preserve">Igara Açu,S/Nº - Rio Negro - Área Ribeirinha - CEP 69.000-000 </t>
  </si>
  <si>
    <t xml:space="preserve">Rd. Torquato Tapajós,Km 47, Ramal Santo Antônio - AM-010 - Área Terrestre - CEP 69.000-000 </t>
  </si>
  <si>
    <t>Igara Açu,S/Nº - Rio Negro - Área Ribeirinha - CEP 69.000-000</t>
  </si>
  <si>
    <t>Rua Nossa Senhora de Fátima,S/Nº - Jorge Teixeira - CEP 69.099-234</t>
  </si>
  <si>
    <t xml:space="preserve">Rua São Bento,S/Nº - São Jorge - CEP 69.000-000 </t>
  </si>
  <si>
    <t>Costa do Tabocal,S/Nº - Rio Amazonas - Área Ribeirinha - CEP 69.000-000</t>
  </si>
  <si>
    <t xml:space="preserve">Costa Do Arara,S/Nº - Rio Negro - Área Ribeirinha - CEP 69.000-000 </t>
  </si>
  <si>
    <t xml:space="preserve">Rua Carauari,542  - Redenção - CEP 69.000-000 </t>
  </si>
  <si>
    <t xml:space="preserve">Lago do Tupé,S/Nº  - Comunidade São João - Área Ribeirinha - CEP 69.000-000 </t>
  </si>
  <si>
    <t>Lago do Arumã,S/Nº - Baixo Rio Preto da Eva - Área Ribeirinha - CEP 69.000-999 - Rio Amazonas - AM</t>
  </si>
  <si>
    <t xml:space="preserve">Rd. Torquato Tapajós,Km 53 - AM-010 - Área Terrestre - CEP 69.000-000 </t>
  </si>
  <si>
    <t xml:space="preserve">Lago Tarumãzinho,S/Nº  - Comunidade Nossa Senhora do Livramento - Área Ribeirinha - CEP 69.000-000 </t>
  </si>
  <si>
    <t>Rio Amazonas,S/Nº - Paraná da Eva - Área Ribeirinha - CEP 69.000-999 - Rio Amazonas - AM</t>
  </si>
  <si>
    <t xml:space="preserve">Rua Nova Esperança,S/Nº  - Colônia Antônio Aleixo - CEP 69.008-110 </t>
  </si>
  <si>
    <t xml:space="preserve">Rua França Junior,S/Nº - Compensa II - CEP 69.000-000 </t>
  </si>
  <si>
    <t xml:space="preserve">Rua Lago da Boa Vista,S/Nº  - Puraquequara - CEP 69.009-055 </t>
  </si>
  <si>
    <t xml:space="preserve">Rio Cuieiras,S/Nº - Vila Paulino São Sebastião - Área Ribeirinha - CEP 69.000-000 </t>
  </si>
  <si>
    <t xml:space="preserve">Lago Tarumãzinho,S/Nº  - Comunidade São Sebastião - Área Ribeirinha - CEP 69.000-000 - </t>
  </si>
  <si>
    <t xml:space="preserve">Av. São Pedro,406  - Compensa II - CEP 69.000-000 </t>
  </si>
  <si>
    <t xml:space="preserve">Rua Do Campo,337  - Novo Aleixo - CEP 69.099-013  </t>
  </si>
  <si>
    <t xml:space="preserve">Rua da Independência,122 - Nova Esperança - CEP 69.000-000 </t>
  </si>
  <si>
    <t xml:space="preserve">Rua 22 de Maio,S/Nº - Monte das Oliveiras - CEP 69.000-000 </t>
  </si>
  <si>
    <t xml:space="preserve">Est. Manaus Caracaraí,Km 25  - BR 174 - Área Terrestre - CEP 69.000-000 </t>
  </si>
  <si>
    <t xml:space="preserve">Rua Girassol,S/Nº - São Francisco - CEP 69.000-000 </t>
  </si>
  <si>
    <t xml:space="preserve">Rua Ponce de Leon, 68 - Compensa II - CEP 69.036-170 </t>
  </si>
  <si>
    <t xml:space="preserve">Rua 9 de Maio,S/Nº  - Distrito Industrial - CEP 69.000-000 </t>
  </si>
  <si>
    <t xml:space="preserve">Rua Bernardo Michiles,15 - Petrópolis - CEP 69.067-000 </t>
  </si>
  <si>
    <t xml:space="preserve">Est. Torquato Tapajós,S/Nº  - Colônia Terra Nova - CEP 69.048-660 </t>
  </si>
  <si>
    <t xml:space="preserve">Rua MARIA MANSOUR,805 - Japiim - CEP 69.078-550 </t>
  </si>
  <si>
    <t xml:space="preserve">Rua Aurora,S/Nº - Gilberto Mestrinho - CEP 69.000-000 </t>
  </si>
  <si>
    <t xml:space="preserve">Av. Solimões, 05 - Mauazinho - CEP 69.075-710 </t>
  </si>
  <si>
    <t xml:space="preserve">Rua Sátiro Dias,S/Nº - São Francisco - CEP 69.079-060 </t>
  </si>
  <si>
    <t xml:space="preserve">Rua Alberto Campainha, 02 - Colônia Antônio Aleixo - CEP 69.008-070 </t>
  </si>
  <si>
    <t>Rua Indígena Terra Preta,S/Nº - Rio Negro - Área Ribeirinha - CEP 69.000-000</t>
  </si>
  <si>
    <t xml:space="preserve">Rua Perimetral,116 - Parque 10 de Novembro - CEP 69.000-000 </t>
  </si>
  <si>
    <t xml:space="preserve">Av. Margarita, 510 - Nova Cidade - CEP 69.097-305 </t>
  </si>
  <si>
    <t xml:space="preserve">Rua DRua Celso, 241  - Puraquequara - CEP 69.009-340 </t>
  </si>
  <si>
    <t>Escritório de Representação em Brasília</t>
  </si>
  <si>
    <t>SEMSA</t>
  </si>
  <si>
    <t>23000</t>
  </si>
  <si>
    <t>Secretaria Municipal de Saúde</t>
  </si>
  <si>
    <t>SIGLA UG</t>
  </si>
  <si>
    <t xml:space="preserve">Rua Pico das Águas, 339 - São Geraldo - CEP 69.053-060 </t>
  </si>
  <si>
    <t>Lei nº 3071, 15/06/2023</t>
  </si>
  <si>
    <t xml:space="preserve">Rua B5, 164 - São José - CEP 69.000-000 </t>
  </si>
  <si>
    <t>BENS IMÓVEIS - PMM</t>
  </si>
  <si>
    <t>Av. Mário Ypiranga, 2549 - Parque 10 de Novembro - CEP 69.055-030.</t>
  </si>
  <si>
    <t>Av.Torquato Tapajós, 1009 - Bairro Da Paz - CEP 69.048-010.</t>
  </si>
  <si>
    <t>Tv. Rio Ribeira, S/N - Nossa Senhora das Graças - CEP 69.057-101.</t>
  </si>
  <si>
    <t>R. H / I, S/N - Jorge Teixeira - CEP 69.088-708.</t>
  </si>
  <si>
    <t>R. Rio Amazonas, 12A - Petrópolis - CEP 69.067-480.</t>
  </si>
  <si>
    <t>R. Cel Ferreira de Araújo, 123 - Petrópolis - CEP 69.063-000.</t>
  </si>
  <si>
    <t>R. Professor Carlos Mesquita, S/N - Santa Luzia - CEP 69.074-350.</t>
  </si>
  <si>
    <t>R. Rio Amazonas, S/N - Petrópolis - 69.067-480.</t>
  </si>
  <si>
    <t>Rd. Torquato Tapajós, Km 35 - AM-010 - CEP 69.000-000.</t>
  </si>
  <si>
    <t>R. Angelim,119 - Comunidade Nova Floresta - Jorge Teixeira - CEP 69.078-000.</t>
  </si>
  <si>
    <t>R. Rio Amazonas, S/N - Petrópolis - CEP 69.067-480.</t>
  </si>
  <si>
    <t>R. Canumã, S/N - Japiim II - CEP 69.000-000.</t>
  </si>
  <si>
    <t>Costa do Jatuarana, S/N - Rio Amazonas - CEP 69.000-000.</t>
  </si>
  <si>
    <t>R. H/I, S/N - Jorge Teixeira - CEP 69.088-708.</t>
  </si>
  <si>
    <t>R. Duque de Caxias (esquina com a Rua Campo Grande), 25 - Redenção - CEP 69.000-000.</t>
  </si>
  <si>
    <t>R. da Amizade, 12 - Petrópolis - CEP 69.067-393.</t>
  </si>
  <si>
    <t>R. Tiradentes, S/N - Santo Agostinho - CEP 69.036-780.</t>
  </si>
  <si>
    <t>001/2024</t>
  </si>
  <si>
    <t>Em ajuste</t>
  </si>
  <si>
    <t>TIPO DE EDIFICAÇÃO</t>
  </si>
  <si>
    <t>Nº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</si>
</sst>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/>
    <xf numFmtId="164" fontId="3" fillId="0" borderId="1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06"/>
  <sheetViews>
    <sheetView tabSelected="1" zoomScale="115" zoomScaleNormal="115" workbookViewId="0">
      <pane ySplit="2" topLeftCell="A273" activePane="bottomLeft" state="frozen"/>
      <selection pane="bottomLeft" activeCell="D286" sqref="D286"/>
    </sheetView>
  </sheetViews>
  <sheetFormatPr defaultRowHeight="12.75" x14ac:dyDescent="0.2"/>
  <cols>
    <col min="1" max="1" width="5" style="4" bestFit="1" customWidth="1"/>
    <col min="2" max="2" width="11.85546875" style="4" bestFit="1" customWidth="1"/>
    <col min="3" max="3" width="71.140625" style="4" customWidth="1"/>
    <col min="4" max="4" width="13.85546875" style="4" bestFit="1" customWidth="1"/>
    <col min="5" max="5" width="99" style="4" bestFit="1" customWidth="1"/>
    <col min="6" max="6" width="13.42578125" style="4" customWidth="1"/>
    <col min="7" max="7" width="15.7109375" style="4" customWidth="1"/>
    <col min="8" max="8" width="15.42578125" style="4" bestFit="1" customWidth="1"/>
    <col min="9" max="9" width="14.85546875" style="4" bestFit="1" customWidth="1"/>
    <col min="10" max="10" width="15.7109375" style="4" customWidth="1"/>
    <col min="11" max="11" width="11.85546875" style="4" bestFit="1" customWidth="1"/>
    <col min="12" max="12" width="15.7109375" style="4" customWidth="1"/>
    <col min="13" max="13" width="20.28515625" style="4" bestFit="1" customWidth="1"/>
    <col min="14" max="17" width="15.7109375" style="4" customWidth="1"/>
    <col min="18" max="16384" width="9.140625" style="4"/>
  </cols>
  <sheetData>
    <row r="1" spans="1:17" ht="15.75" customHeight="1" thickBot="1" x14ac:dyDescent="0.25">
      <c r="A1" s="16" t="s">
        <v>406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s="2" customFormat="1" ht="25.5" customHeight="1" thickBot="1" x14ac:dyDescent="0.3">
      <c r="A2" s="9" t="s">
        <v>427</v>
      </c>
      <c r="B2" s="14" t="s">
        <v>402</v>
      </c>
      <c r="C2" s="10" t="s">
        <v>38</v>
      </c>
      <c r="D2" s="10" t="s">
        <v>75</v>
      </c>
      <c r="E2" s="10" t="s">
        <v>0</v>
      </c>
      <c r="F2" s="10" t="s">
        <v>426</v>
      </c>
      <c r="G2" s="10" t="s">
        <v>9</v>
      </c>
      <c r="H2" s="10" t="s">
        <v>5</v>
      </c>
      <c r="I2" s="10" t="s">
        <v>3</v>
      </c>
      <c r="J2" s="10" t="s">
        <v>15</v>
      </c>
      <c r="K2" s="10" t="s">
        <v>6</v>
      </c>
      <c r="L2" s="10" t="s">
        <v>7</v>
      </c>
      <c r="M2" s="10" t="s">
        <v>8</v>
      </c>
      <c r="N2" s="10" t="s">
        <v>10</v>
      </c>
      <c r="O2" s="10" t="s">
        <v>11</v>
      </c>
      <c r="P2" s="10" t="s">
        <v>13</v>
      </c>
      <c r="Q2" s="11" t="s">
        <v>12</v>
      </c>
    </row>
    <row r="3" spans="1:17" x14ac:dyDescent="0.2">
      <c r="A3" s="15">
        <v>1</v>
      </c>
      <c r="B3" s="3" t="s">
        <v>63</v>
      </c>
      <c r="C3" s="3" t="str">
        <f>VLOOKUP(B3,Listas!A$3:C$30,3,0)</f>
        <v>Secretaria Municipal de Educação</v>
      </c>
      <c r="D3" s="3" t="str">
        <f>VLOOKUP(B3,Listas!A$3:C$30,2,0)</f>
        <v>18101</v>
      </c>
      <c r="E3" s="13" t="s">
        <v>124</v>
      </c>
      <c r="F3" s="3" t="s">
        <v>425</v>
      </c>
      <c r="G3" s="3" t="s">
        <v>425</v>
      </c>
      <c r="H3" s="5" t="s">
        <v>425</v>
      </c>
      <c r="I3" s="5"/>
      <c r="J3" s="3" t="s">
        <v>425</v>
      </c>
      <c r="K3" s="12" t="s">
        <v>425</v>
      </c>
      <c r="L3" s="3" t="s">
        <v>425</v>
      </c>
      <c r="M3" s="3" t="s">
        <v>425</v>
      </c>
      <c r="N3" s="3" t="s">
        <v>425</v>
      </c>
      <c r="O3" s="3" t="s">
        <v>425</v>
      </c>
      <c r="P3" s="3" t="s">
        <v>425</v>
      </c>
      <c r="Q3" s="3" t="s">
        <v>425</v>
      </c>
    </row>
    <row r="4" spans="1:17" x14ac:dyDescent="0.2">
      <c r="A4" s="15">
        <f>A3+1</f>
        <v>2</v>
      </c>
      <c r="B4" s="3" t="s">
        <v>63</v>
      </c>
      <c r="C4" s="3" t="str">
        <f>VLOOKUP(B4,Listas!A$3:C$30,3,0)</f>
        <v>Secretaria Municipal de Educação</v>
      </c>
      <c r="D4" s="3" t="str">
        <f>VLOOKUP(B4,Listas!A$3:C$30,2,0)</f>
        <v>18101</v>
      </c>
      <c r="E4" s="13" t="s">
        <v>125</v>
      </c>
      <c r="F4" s="3" t="s">
        <v>425</v>
      </c>
      <c r="G4" s="3" t="s">
        <v>425</v>
      </c>
      <c r="H4" s="5" t="s">
        <v>425</v>
      </c>
      <c r="I4" s="5"/>
      <c r="J4" s="3" t="s">
        <v>425</v>
      </c>
      <c r="K4" s="12" t="s">
        <v>425</v>
      </c>
      <c r="L4" s="3" t="s">
        <v>425</v>
      </c>
      <c r="M4" s="3" t="s">
        <v>425</v>
      </c>
      <c r="N4" s="3" t="s">
        <v>425</v>
      </c>
      <c r="O4" s="3" t="s">
        <v>425</v>
      </c>
      <c r="P4" s="3" t="s">
        <v>425</v>
      </c>
      <c r="Q4" s="3" t="s">
        <v>425</v>
      </c>
    </row>
    <row r="5" spans="1:17" x14ac:dyDescent="0.2">
      <c r="A5" s="15">
        <f t="shared" ref="A5:A68" si="0">A4+1</f>
        <v>3</v>
      </c>
      <c r="B5" s="3" t="s">
        <v>63</v>
      </c>
      <c r="C5" s="3" t="str">
        <f>VLOOKUP(B5,Listas!A$3:C$30,3,0)</f>
        <v>Secretaria Municipal de Educação</v>
      </c>
      <c r="D5" s="3" t="str">
        <f>VLOOKUP(B5,Listas!A$3:C$30,2,0)</f>
        <v>18101</v>
      </c>
      <c r="E5" s="13" t="s">
        <v>126</v>
      </c>
      <c r="F5" s="3" t="s">
        <v>425</v>
      </c>
      <c r="G5" s="3" t="s">
        <v>425</v>
      </c>
      <c r="H5" s="5" t="s">
        <v>425</v>
      </c>
      <c r="I5" s="5"/>
      <c r="J5" s="3" t="s">
        <v>425</v>
      </c>
      <c r="K5" s="12" t="s">
        <v>425</v>
      </c>
      <c r="L5" s="3" t="s">
        <v>425</v>
      </c>
      <c r="M5" s="3" t="s">
        <v>425</v>
      </c>
      <c r="N5" s="3" t="s">
        <v>425</v>
      </c>
      <c r="O5" s="3" t="s">
        <v>425</v>
      </c>
      <c r="P5" s="3" t="s">
        <v>425</v>
      </c>
      <c r="Q5" s="3" t="s">
        <v>425</v>
      </c>
    </row>
    <row r="6" spans="1:17" x14ac:dyDescent="0.2">
      <c r="A6" s="15">
        <f t="shared" si="0"/>
        <v>4</v>
      </c>
      <c r="B6" s="3" t="s">
        <v>63</v>
      </c>
      <c r="C6" s="3" t="str">
        <f>VLOOKUP(B6,Listas!A$3:C$30,3,0)</f>
        <v>Secretaria Municipal de Educação</v>
      </c>
      <c r="D6" s="3" t="str">
        <f>VLOOKUP(B6,Listas!A$3:C$30,2,0)</f>
        <v>18101</v>
      </c>
      <c r="E6" s="13" t="s">
        <v>127</v>
      </c>
      <c r="F6" s="3" t="s">
        <v>425</v>
      </c>
      <c r="G6" s="3" t="s">
        <v>425</v>
      </c>
      <c r="H6" s="5" t="s">
        <v>425</v>
      </c>
      <c r="I6" s="5"/>
      <c r="J6" s="3" t="s">
        <v>425</v>
      </c>
      <c r="K6" s="12" t="s">
        <v>425</v>
      </c>
      <c r="L6" s="3" t="s">
        <v>425</v>
      </c>
      <c r="M6" s="3" t="s">
        <v>425</v>
      </c>
      <c r="N6" s="3" t="s">
        <v>425</v>
      </c>
      <c r="O6" s="3" t="s">
        <v>425</v>
      </c>
      <c r="P6" s="3" t="s">
        <v>425</v>
      </c>
      <c r="Q6" s="3" t="s">
        <v>425</v>
      </c>
    </row>
    <row r="7" spans="1:17" x14ac:dyDescent="0.2">
      <c r="A7" s="15">
        <f t="shared" si="0"/>
        <v>5</v>
      </c>
      <c r="B7" s="3" t="s">
        <v>63</v>
      </c>
      <c r="C7" s="3" t="str">
        <f>VLOOKUP(B7,Listas!A$3:C$30,3,0)</f>
        <v>Secretaria Municipal de Educação</v>
      </c>
      <c r="D7" s="3" t="str">
        <f>VLOOKUP(B7,Listas!A$3:C$30,2,0)</f>
        <v>18101</v>
      </c>
      <c r="E7" s="13" t="s">
        <v>128</v>
      </c>
      <c r="F7" s="3" t="s">
        <v>425</v>
      </c>
      <c r="G7" s="3" t="s">
        <v>425</v>
      </c>
      <c r="H7" s="5" t="s">
        <v>425</v>
      </c>
      <c r="I7" s="5"/>
      <c r="J7" s="3" t="s">
        <v>425</v>
      </c>
      <c r="K7" s="12" t="s">
        <v>425</v>
      </c>
      <c r="L7" s="3" t="s">
        <v>425</v>
      </c>
      <c r="M7" s="3" t="s">
        <v>425</v>
      </c>
      <c r="N7" s="3" t="s">
        <v>425</v>
      </c>
      <c r="O7" s="3" t="s">
        <v>425</v>
      </c>
      <c r="P7" s="3" t="s">
        <v>425</v>
      </c>
      <c r="Q7" s="3" t="s">
        <v>425</v>
      </c>
    </row>
    <row r="8" spans="1:17" x14ac:dyDescent="0.2">
      <c r="A8" s="15">
        <f t="shared" si="0"/>
        <v>6</v>
      </c>
      <c r="B8" s="3" t="s">
        <v>63</v>
      </c>
      <c r="C8" s="3" t="str">
        <f>VLOOKUP(B8,Listas!A$3:C$30,3,0)</f>
        <v>Secretaria Municipal de Educação</v>
      </c>
      <c r="D8" s="3" t="str">
        <f>VLOOKUP(B8,Listas!A$3:C$30,2,0)</f>
        <v>18101</v>
      </c>
      <c r="E8" s="13" t="s">
        <v>129</v>
      </c>
      <c r="F8" s="3" t="s">
        <v>425</v>
      </c>
      <c r="G8" s="3" t="s">
        <v>425</v>
      </c>
      <c r="H8" s="5" t="s">
        <v>425</v>
      </c>
      <c r="I8" s="5"/>
      <c r="J8" s="3" t="s">
        <v>425</v>
      </c>
      <c r="K8" s="12" t="s">
        <v>425</v>
      </c>
      <c r="L8" s="3" t="s">
        <v>425</v>
      </c>
      <c r="M8" s="3" t="s">
        <v>425</v>
      </c>
      <c r="N8" s="3" t="s">
        <v>425</v>
      </c>
      <c r="O8" s="3" t="s">
        <v>425</v>
      </c>
      <c r="P8" s="3" t="s">
        <v>425</v>
      </c>
      <c r="Q8" s="3" t="s">
        <v>425</v>
      </c>
    </row>
    <row r="9" spans="1:17" x14ac:dyDescent="0.2">
      <c r="A9" s="15">
        <f t="shared" si="0"/>
        <v>7</v>
      </c>
      <c r="B9" s="3" t="s">
        <v>63</v>
      </c>
      <c r="C9" s="3" t="str">
        <f>VLOOKUP(B9,Listas!A$3:C$30,3,0)</f>
        <v>Secretaria Municipal de Educação</v>
      </c>
      <c r="D9" s="3" t="str">
        <f>VLOOKUP(B9,Listas!A$3:C$30,2,0)</f>
        <v>18101</v>
      </c>
      <c r="E9" s="13" t="s">
        <v>130</v>
      </c>
      <c r="F9" s="3" t="s">
        <v>425</v>
      </c>
      <c r="G9" s="3" t="s">
        <v>425</v>
      </c>
      <c r="H9" s="5" t="s">
        <v>425</v>
      </c>
      <c r="I9" s="5"/>
      <c r="J9" s="3" t="s">
        <v>425</v>
      </c>
      <c r="K9" s="12" t="s">
        <v>425</v>
      </c>
      <c r="L9" s="3" t="s">
        <v>425</v>
      </c>
      <c r="M9" s="3" t="s">
        <v>425</v>
      </c>
      <c r="N9" s="3" t="s">
        <v>425</v>
      </c>
      <c r="O9" s="3" t="s">
        <v>425</v>
      </c>
      <c r="P9" s="3" t="s">
        <v>425</v>
      </c>
      <c r="Q9" s="3" t="s">
        <v>425</v>
      </c>
    </row>
    <row r="10" spans="1:17" x14ac:dyDescent="0.2">
      <c r="A10" s="15">
        <f t="shared" si="0"/>
        <v>8</v>
      </c>
      <c r="B10" s="3" t="s">
        <v>63</v>
      </c>
      <c r="C10" s="3" t="str">
        <f>VLOOKUP(B10,Listas!A$3:C$30,3,0)</f>
        <v>Secretaria Municipal de Educação</v>
      </c>
      <c r="D10" s="3" t="str">
        <f>VLOOKUP(B10,Listas!A$3:C$30,2,0)</f>
        <v>18101</v>
      </c>
      <c r="E10" s="13" t="s">
        <v>131</v>
      </c>
      <c r="F10" s="3" t="s">
        <v>425</v>
      </c>
      <c r="G10" s="3" t="s">
        <v>425</v>
      </c>
      <c r="H10" s="5" t="s">
        <v>425</v>
      </c>
      <c r="I10" s="5"/>
      <c r="J10" s="3" t="s">
        <v>425</v>
      </c>
      <c r="K10" s="12" t="s">
        <v>425</v>
      </c>
      <c r="L10" s="3" t="s">
        <v>425</v>
      </c>
      <c r="M10" s="3" t="s">
        <v>425</v>
      </c>
      <c r="N10" s="3" t="s">
        <v>425</v>
      </c>
      <c r="O10" s="3" t="s">
        <v>425</v>
      </c>
      <c r="P10" s="3" t="s">
        <v>425</v>
      </c>
      <c r="Q10" s="3" t="s">
        <v>425</v>
      </c>
    </row>
    <row r="11" spans="1:17" x14ac:dyDescent="0.2">
      <c r="A11" s="15">
        <f t="shared" si="0"/>
        <v>9</v>
      </c>
      <c r="B11" s="3" t="s">
        <v>63</v>
      </c>
      <c r="C11" s="3" t="str">
        <f>VLOOKUP(B11,Listas!A$3:C$30,3,0)</f>
        <v>Secretaria Municipal de Educação</v>
      </c>
      <c r="D11" s="3" t="str">
        <f>VLOOKUP(B11,Listas!A$3:C$30,2,0)</f>
        <v>18101</v>
      </c>
      <c r="E11" s="13" t="s">
        <v>132</v>
      </c>
      <c r="F11" s="3" t="s">
        <v>425</v>
      </c>
      <c r="G11" s="3" t="s">
        <v>425</v>
      </c>
      <c r="H11" s="5" t="s">
        <v>425</v>
      </c>
      <c r="I11" s="5"/>
      <c r="J11" s="3" t="s">
        <v>425</v>
      </c>
      <c r="K11" s="12" t="s">
        <v>425</v>
      </c>
      <c r="L11" s="3" t="s">
        <v>425</v>
      </c>
      <c r="M11" s="3" t="s">
        <v>425</v>
      </c>
      <c r="N11" s="3" t="s">
        <v>425</v>
      </c>
      <c r="O11" s="3" t="s">
        <v>425</v>
      </c>
      <c r="P11" s="3" t="s">
        <v>425</v>
      </c>
      <c r="Q11" s="3" t="s">
        <v>425</v>
      </c>
    </row>
    <row r="12" spans="1:17" x14ac:dyDescent="0.2">
      <c r="A12" s="15">
        <f t="shared" si="0"/>
        <v>10</v>
      </c>
      <c r="B12" s="3" t="s">
        <v>63</v>
      </c>
      <c r="C12" s="3" t="str">
        <f>VLOOKUP(B12,Listas!A$3:C$30,3,0)</f>
        <v>Secretaria Municipal de Educação</v>
      </c>
      <c r="D12" s="3" t="str">
        <f>VLOOKUP(B12,Listas!A$3:C$30,2,0)</f>
        <v>18101</v>
      </c>
      <c r="E12" s="13" t="s">
        <v>133</v>
      </c>
      <c r="F12" s="3" t="s">
        <v>425</v>
      </c>
      <c r="G12" s="3" t="s">
        <v>425</v>
      </c>
      <c r="H12" s="5" t="s">
        <v>425</v>
      </c>
      <c r="I12" s="5"/>
      <c r="J12" s="3" t="s">
        <v>425</v>
      </c>
      <c r="K12" s="12" t="s">
        <v>425</v>
      </c>
      <c r="L12" s="3" t="s">
        <v>425</v>
      </c>
      <c r="M12" s="3" t="s">
        <v>425</v>
      </c>
      <c r="N12" s="3" t="s">
        <v>425</v>
      </c>
      <c r="O12" s="3" t="s">
        <v>425</v>
      </c>
      <c r="P12" s="3" t="s">
        <v>425</v>
      </c>
      <c r="Q12" s="3" t="s">
        <v>425</v>
      </c>
    </row>
    <row r="13" spans="1:17" x14ac:dyDescent="0.2">
      <c r="A13" s="15">
        <f t="shared" si="0"/>
        <v>11</v>
      </c>
      <c r="B13" s="3" t="s">
        <v>63</v>
      </c>
      <c r="C13" s="3" t="str">
        <f>VLOOKUP(B13,Listas!A$3:C$30,3,0)</f>
        <v>Secretaria Municipal de Educação</v>
      </c>
      <c r="D13" s="3" t="str">
        <f>VLOOKUP(B13,Listas!A$3:C$30,2,0)</f>
        <v>18101</v>
      </c>
      <c r="E13" s="13" t="s">
        <v>134</v>
      </c>
      <c r="F13" s="3" t="s">
        <v>425</v>
      </c>
      <c r="G13" s="3" t="s">
        <v>425</v>
      </c>
      <c r="H13" s="5" t="s">
        <v>425</v>
      </c>
      <c r="I13" s="5"/>
      <c r="J13" s="3" t="s">
        <v>425</v>
      </c>
      <c r="K13" s="12" t="s">
        <v>425</v>
      </c>
      <c r="L13" s="3" t="s">
        <v>425</v>
      </c>
      <c r="M13" s="3" t="s">
        <v>425</v>
      </c>
      <c r="N13" s="3" t="s">
        <v>425</v>
      </c>
      <c r="O13" s="3" t="s">
        <v>425</v>
      </c>
      <c r="P13" s="3" t="s">
        <v>425</v>
      </c>
      <c r="Q13" s="3" t="s">
        <v>425</v>
      </c>
    </row>
    <row r="14" spans="1:17" x14ac:dyDescent="0.2">
      <c r="A14" s="15">
        <f t="shared" si="0"/>
        <v>12</v>
      </c>
      <c r="B14" s="3" t="s">
        <v>63</v>
      </c>
      <c r="C14" s="3" t="str">
        <f>VLOOKUP(B14,Listas!A$3:C$30,3,0)</f>
        <v>Secretaria Municipal de Educação</v>
      </c>
      <c r="D14" s="3" t="str">
        <f>VLOOKUP(B14,Listas!A$3:C$30,2,0)</f>
        <v>18101</v>
      </c>
      <c r="E14" s="13" t="s">
        <v>135</v>
      </c>
      <c r="F14" s="3" t="s">
        <v>425</v>
      </c>
      <c r="G14" s="3" t="s">
        <v>425</v>
      </c>
      <c r="H14" s="5" t="s">
        <v>425</v>
      </c>
      <c r="I14" s="5"/>
      <c r="J14" s="3" t="s">
        <v>425</v>
      </c>
      <c r="K14" s="12" t="s">
        <v>425</v>
      </c>
      <c r="L14" s="3" t="s">
        <v>425</v>
      </c>
      <c r="M14" s="3" t="s">
        <v>425</v>
      </c>
      <c r="N14" s="3" t="s">
        <v>425</v>
      </c>
      <c r="O14" s="3" t="s">
        <v>425</v>
      </c>
      <c r="P14" s="3" t="s">
        <v>425</v>
      </c>
      <c r="Q14" s="3" t="s">
        <v>425</v>
      </c>
    </row>
    <row r="15" spans="1:17" x14ac:dyDescent="0.2">
      <c r="A15" s="15">
        <f t="shared" si="0"/>
        <v>13</v>
      </c>
      <c r="B15" s="3" t="s">
        <v>63</v>
      </c>
      <c r="C15" s="3" t="str">
        <f>VLOOKUP(B15,Listas!A$3:C$30,3,0)</f>
        <v>Secretaria Municipal de Educação</v>
      </c>
      <c r="D15" s="3" t="str">
        <f>VLOOKUP(B15,Listas!A$3:C$30,2,0)</f>
        <v>18101</v>
      </c>
      <c r="E15" s="13" t="s">
        <v>136</v>
      </c>
      <c r="F15" s="3" t="s">
        <v>425</v>
      </c>
      <c r="G15" s="3" t="s">
        <v>425</v>
      </c>
      <c r="H15" s="5" t="s">
        <v>425</v>
      </c>
      <c r="I15" s="5"/>
      <c r="J15" s="3" t="s">
        <v>425</v>
      </c>
      <c r="K15" s="12" t="s">
        <v>425</v>
      </c>
      <c r="L15" s="3" t="s">
        <v>425</v>
      </c>
      <c r="M15" s="3" t="s">
        <v>425</v>
      </c>
      <c r="N15" s="3" t="s">
        <v>425</v>
      </c>
      <c r="O15" s="3" t="s">
        <v>425</v>
      </c>
      <c r="P15" s="3" t="s">
        <v>425</v>
      </c>
      <c r="Q15" s="3" t="s">
        <v>425</v>
      </c>
    </row>
    <row r="16" spans="1:17" x14ac:dyDescent="0.2">
      <c r="A16" s="15">
        <f t="shared" si="0"/>
        <v>14</v>
      </c>
      <c r="B16" s="3" t="s">
        <v>63</v>
      </c>
      <c r="C16" s="3" t="str">
        <f>VLOOKUP(B16,Listas!A$3:C$30,3,0)</f>
        <v>Secretaria Municipal de Educação</v>
      </c>
      <c r="D16" s="3" t="str">
        <f>VLOOKUP(B16,Listas!A$3:C$30,2,0)</f>
        <v>18101</v>
      </c>
      <c r="E16" s="13" t="s">
        <v>137</v>
      </c>
      <c r="F16" s="3" t="s">
        <v>425</v>
      </c>
      <c r="G16" s="3" t="s">
        <v>425</v>
      </c>
      <c r="H16" s="5" t="s">
        <v>425</v>
      </c>
      <c r="I16" s="5"/>
      <c r="J16" s="3" t="s">
        <v>425</v>
      </c>
      <c r="K16" s="12" t="s">
        <v>425</v>
      </c>
      <c r="L16" s="3" t="s">
        <v>425</v>
      </c>
      <c r="M16" s="3" t="s">
        <v>425</v>
      </c>
      <c r="N16" s="3" t="s">
        <v>425</v>
      </c>
      <c r="O16" s="3" t="s">
        <v>425</v>
      </c>
      <c r="P16" s="3" t="s">
        <v>425</v>
      </c>
      <c r="Q16" s="3" t="s">
        <v>425</v>
      </c>
    </row>
    <row r="17" spans="1:17" x14ac:dyDescent="0.2">
      <c r="A17" s="15">
        <f t="shared" si="0"/>
        <v>15</v>
      </c>
      <c r="B17" s="3" t="s">
        <v>63</v>
      </c>
      <c r="C17" s="3" t="str">
        <f>VLOOKUP(B17,Listas!A$3:C$30,3,0)</f>
        <v>Secretaria Municipal de Educação</v>
      </c>
      <c r="D17" s="3" t="str">
        <f>VLOOKUP(B17,Listas!A$3:C$30,2,0)</f>
        <v>18101</v>
      </c>
      <c r="E17" s="13" t="s">
        <v>138</v>
      </c>
      <c r="F17" s="3" t="s">
        <v>425</v>
      </c>
      <c r="G17" s="3" t="s">
        <v>425</v>
      </c>
      <c r="H17" s="5" t="s">
        <v>425</v>
      </c>
      <c r="I17" s="5"/>
      <c r="J17" s="3" t="s">
        <v>425</v>
      </c>
      <c r="K17" s="12" t="s">
        <v>425</v>
      </c>
      <c r="L17" s="3" t="s">
        <v>425</v>
      </c>
      <c r="M17" s="3" t="s">
        <v>425</v>
      </c>
      <c r="N17" s="3" t="s">
        <v>425</v>
      </c>
      <c r="O17" s="3" t="s">
        <v>425</v>
      </c>
      <c r="P17" s="3" t="s">
        <v>425</v>
      </c>
      <c r="Q17" s="3" t="s">
        <v>425</v>
      </c>
    </row>
    <row r="18" spans="1:17" x14ac:dyDescent="0.2">
      <c r="A18" s="15">
        <f t="shared" si="0"/>
        <v>16</v>
      </c>
      <c r="B18" s="3" t="s">
        <v>63</v>
      </c>
      <c r="C18" s="3" t="str">
        <f>VLOOKUP(B18,Listas!A$3:C$30,3,0)</f>
        <v>Secretaria Municipal de Educação</v>
      </c>
      <c r="D18" s="3" t="str">
        <f>VLOOKUP(B18,Listas!A$3:C$30,2,0)</f>
        <v>18101</v>
      </c>
      <c r="E18" s="13" t="s">
        <v>139</v>
      </c>
      <c r="F18" s="3" t="s">
        <v>425</v>
      </c>
      <c r="G18" s="3" t="s">
        <v>425</v>
      </c>
      <c r="H18" s="5" t="s">
        <v>425</v>
      </c>
      <c r="I18" s="5"/>
      <c r="J18" s="3" t="s">
        <v>425</v>
      </c>
      <c r="K18" s="12" t="s">
        <v>425</v>
      </c>
      <c r="L18" s="3" t="s">
        <v>425</v>
      </c>
      <c r="M18" s="3" t="s">
        <v>425</v>
      </c>
      <c r="N18" s="3" t="s">
        <v>425</v>
      </c>
      <c r="O18" s="3" t="s">
        <v>425</v>
      </c>
      <c r="P18" s="3" t="s">
        <v>425</v>
      </c>
      <c r="Q18" s="3" t="s">
        <v>425</v>
      </c>
    </row>
    <row r="19" spans="1:17" x14ac:dyDescent="0.2">
      <c r="A19" s="15">
        <f t="shared" si="0"/>
        <v>17</v>
      </c>
      <c r="B19" s="3" t="s">
        <v>63</v>
      </c>
      <c r="C19" s="3" t="str">
        <f>VLOOKUP(B19,Listas!A$3:C$30,3,0)</f>
        <v>Secretaria Municipal de Educação</v>
      </c>
      <c r="D19" s="3" t="str">
        <f>VLOOKUP(B19,Listas!A$3:C$30,2,0)</f>
        <v>18101</v>
      </c>
      <c r="E19" s="13" t="s">
        <v>140</v>
      </c>
      <c r="F19" s="3" t="s">
        <v>425</v>
      </c>
      <c r="G19" s="3" t="s">
        <v>425</v>
      </c>
      <c r="H19" s="5" t="s">
        <v>425</v>
      </c>
      <c r="I19" s="5"/>
      <c r="J19" s="3" t="s">
        <v>425</v>
      </c>
      <c r="K19" s="12" t="s">
        <v>425</v>
      </c>
      <c r="L19" s="3" t="s">
        <v>425</v>
      </c>
      <c r="M19" s="3" t="s">
        <v>425</v>
      </c>
      <c r="N19" s="3" t="s">
        <v>425</v>
      </c>
      <c r="O19" s="3" t="s">
        <v>425</v>
      </c>
      <c r="P19" s="3" t="s">
        <v>425</v>
      </c>
      <c r="Q19" s="3" t="s">
        <v>425</v>
      </c>
    </row>
    <row r="20" spans="1:17" x14ac:dyDescent="0.2">
      <c r="A20" s="15">
        <f t="shared" si="0"/>
        <v>18</v>
      </c>
      <c r="B20" s="3" t="s">
        <v>63</v>
      </c>
      <c r="C20" s="3" t="str">
        <f>VLOOKUP(B20,Listas!A$3:C$30,3,0)</f>
        <v>Secretaria Municipal de Educação</v>
      </c>
      <c r="D20" s="3" t="str">
        <f>VLOOKUP(B20,Listas!A$3:C$30,2,0)</f>
        <v>18101</v>
      </c>
      <c r="E20" s="13" t="s">
        <v>141</v>
      </c>
      <c r="F20" s="3" t="s">
        <v>425</v>
      </c>
      <c r="G20" s="3" t="s">
        <v>425</v>
      </c>
      <c r="H20" s="5" t="s">
        <v>425</v>
      </c>
      <c r="I20" s="5"/>
      <c r="J20" s="3" t="s">
        <v>425</v>
      </c>
      <c r="K20" s="12" t="s">
        <v>425</v>
      </c>
      <c r="L20" s="3" t="s">
        <v>425</v>
      </c>
      <c r="M20" s="3" t="s">
        <v>425</v>
      </c>
      <c r="N20" s="3" t="s">
        <v>425</v>
      </c>
      <c r="O20" s="3" t="s">
        <v>425</v>
      </c>
      <c r="P20" s="3" t="s">
        <v>425</v>
      </c>
      <c r="Q20" s="3" t="s">
        <v>425</v>
      </c>
    </row>
    <row r="21" spans="1:17" x14ac:dyDescent="0.2">
      <c r="A21" s="15">
        <f t="shared" si="0"/>
        <v>19</v>
      </c>
      <c r="B21" s="3" t="s">
        <v>63</v>
      </c>
      <c r="C21" s="3" t="str">
        <f>VLOOKUP(B21,Listas!A$3:C$30,3,0)</f>
        <v>Secretaria Municipal de Educação</v>
      </c>
      <c r="D21" s="3" t="str">
        <f>VLOOKUP(B21,Listas!A$3:C$30,2,0)</f>
        <v>18101</v>
      </c>
      <c r="E21" s="13" t="s">
        <v>142</v>
      </c>
      <c r="F21" s="3" t="s">
        <v>425</v>
      </c>
      <c r="G21" s="3" t="s">
        <v>425</v>
      </c>
      <c r="H21" s="5" t="s">
        <v>425</v>
      </c>
      <c r="I21" s="5"/>
      <c r="J21" s="3" t="s">
        <v>425</v>
      </c>
      <c r="K21" s="12" t="s">
        <v>425</v>
      </c>
      <c r="L21" s="3" t="s">
        <v>425</v>
      </c>
      <c r="M21" s="3" t="s">
        <v>425</v>
      </c>
      <c r="N21" s="3" t="s">
        <v>425</v>
      </c>
      <c r="O21" s="3" t="s">
        <v>425</v>
      </c>
      <c r="P21" s="3" t="s">
        <v>425</v>
      </c>
      <c r="Q21" s="3" t="s">
        <v>425</v>
      </c>
    </row>
    <row r="22" spans="1:17" x14ac:dyDescent="0.2">
      <c r="A22" s="15">
        <f t="shared" si="0"/>
        <v>20</v>
      </c>
      <c r="B22" s="3" t="s">
        <v>63</v>
      </c>
      <c r="C22" s="3" t="str">
        <f>VLOOKUP(B22,Listas!A$3:C$30,3,0)</f>
        <v>Secretaria Municipal de Educação</v>
      </c>
      <c r="D22" s="3" t="str">
        <f>VLOOKUP(B22,Listas!A$3:C$30,2,0)</f>
        <v>18101</v>
      </c>
      <c r="E22" s="13" t="s">
        <v>143</v>
      </c>
      <c r="F22" s="3" t="s">
        <v>425</v>
      </c>
      <c r="G22" s="3" t="s">
        <v>425</v>
      </c>
      <c r="H22" s="5" t="s">
        <v>425</v>
      </c>
      <c r="I22" s="5"/>
      <c r="J22" s="3" t="s">
        <v>425</v>
      </c>
      <c r="K22" s="12" t="s">
        <v>425</v>
      </c>
      <c r="L22" s="3" t="s">
        <v>425</v>
      </c>
      <c r="M22" s="3" t="s">
        <v>425</v>
      </c>
      <c r="N22" s="3" t="s">
        <v>425</v>
      </c>
      <c r="O22" s="3" t="s">
        <v>425</v>
      </c>
      <c r="P22" s="3" t="s">
        <v>425</v>
      </c>
      <c r="Q22" s="3" t="s">
        <v>425</v>
      </c>
    </row>
    <row r="23" spans="1:17" x14ac:dyDescent="0.2">
      <c r="A23" s="15">
        <f t="shared" si="0"/>
        <v>21</v>
      </c>
      <c r="B23" s="3" t="s">
        <v>63</v>
      </c>
      <c r="C23" s="3" t="str">
        <f>VLOOKUP(B23,Listas!A$3:C$30,3,0)</f>
        <v>Secretaria Municipal de Educação</v>
      </c>
      <c r="D23" s="3" t="str">
        <f>VLOOKUP(B23,Listas!A$3:C$30,2,0)</f>
        <v>18101</v>
      </c>
      <c r="E23" s="13" t="s">
        <v>144</v>
      </c>
      <c r="F23" s="3" t="s">
        <v>425</v>
      </c>
      <c r="G23" s="3" t="s">
        <v>425</v>
      </c>
      <c r="H23" s="5" t="s">
        <v>425</v>
      </c>
      <c r="I23" s="5"/>
      <c r="J23" s="3" t="s">
        <v>425</v>
      </c>
      <c r="K23" s="12" t="s">
        <v>425</v>
      </c>
      <c r="L23" s="3" t="s">
        <v>425</v>
      </c>
      <c r="M23" s="3" t="s">
        <v>425</v>
      </c>
      <c r="N23" s="3" t="s">
        <v>425</v>
      </c>
      <c r="O23" s="3" t="s">
        <v>425</v>
      </c>
      <c r="P23" s="3" t="s">
        <v>425</v>
      </c>
      <c r="Q23" s="3" t="s">
        <v>425</v>
      </c>
    </row>
    <row r="24" spans="1:17" x14ac:dyDescent="0.2">
      <c r="A24" s="15">
        <f t="shared" si="0"/>
        <v>22</v>
      </c>
      <c r="B24" s="3" t="s">
        <v>63</v>
      </c>
      <c r="C24" s="3" t="str">
        <f>VLOOKUP(B24,Listas!A$3:C$30,3,0)</f>
        <v>Secretaria Municipal de Educação</v>
      </c>
      <c r="D24" s="3" t="str">
        <f>VLOOKUP(B24,Listas!A$3:C$30,2,0)</f>
        <v>18101</v>
      </c>
      <c r="E24" s="13" t="s">
        <v>145</v>
      </c>
      <c r="F24" s="3" t="s">
        <v>425</v>
      </c>
      <c r="G24" s="3" t="s">
        <v>425</v>
      </c>
      <c r="H24" s="5" t="s">
        <v>425</v>
      </c>
      <c r="I24" s="5"/>
      <c r="J24" s="3" t="s">
        <v>425</v>
      </c>
      <c r="K24" s="12" t="s">
        <v>425</v>
      </c>
      <c r="L24" s="3" t="s">
        <v>425</v>
      </c>
      <c r="M24" s="3" t="s">
        <v>425</v>
      </c>
      <c r="N24" s="3" t="s">
        <v>425</v>
      </c>
      <c r="O24" s="3" t="s">
        <v>425</v>
      </c>
      <c r="P24" s="3" t="s">
        <v>425</v>
      </c>
      <c r="Q24" s="3" t="s">
        <v>425</v>
      </c>
    </row>
    <row r="25" spans="1:17" x14ac:dyDescent="0.2">
      <c r="A25" s="15">
        <f t="shared" si="0"/>
        <v>23</v>
      </c>
      <c r="B25" s="3" t="s">
        <v>63</v>
      </c>
      <c r="C25" s="3" t="str">
        <f>VLOOKUP(B25,Listas!A$3:C$30,3,0)</f>
        <v>Secretaria Municipal de Educação</v>
      </c>
      <c r="D25" s="3" t="str">
        <f>VLOOKUP(B25,Listas!A$3:C$30,2,0)</f>
        <v>18101</v>
      </c>
      <c r="E25" s="13" t="s">
        <v>146</v>
      </c>
      <c r="F25" s="3" t="s">
        <v>425</v>
      </c>
      <c r="G25" s="3" t="s">
        <v>425</v>
      </c>
      <c r="H25" s="5" t="s">
        <v>425</v>
      </c>
      <c r="I25" s="5"/>
      <c r="J25" s="3" t="s">
        <v>425</v>
      </c>
      <c r="K25" s="12" t="s">
        <v>425</v>
      </c>
      <c r="L25" s="3" t="s">
        <v>425</v>
      </c>
      <c r="M25" s="3" t="s">
        <v>425</v>
      </c>
      <c r="N25" s="3" t="s">
        <v>425</v>
      </c>
      <c r="O25" s="3" t="s">
        <v>425</v>
      </c>
      <c r="P25" s="3" t="s">
        <v>425</v>
      </c>
      <c r="Q25" s="3" t="s">
        <v>425</v>
      </c>
    </row>
    <row r="26" spans="1:17" x14ac:dyDescent="0.2">
      <c r="A26" s="15">
        <f t="shared" si="0"/>
        <v>24</v>
      </c>
      <c r="B26" s="3" t="s">
        <v>63</v>
      </c>
      <c r="C26" s="3" t="str">
        <f>VLOOKUP(B26,Listas!A$3:C$30,3,0)</f>
        <v>Secretaria Municipal de Educação</v>
      </c>
      <c r="D26" s="3" t="str">
        <f>VLOOKUP(B26,Listas!A$3:C$30,2,0)</f>
        <v>18101</v>
      </c>
      <c r="E26" s="13" t="s">
        <v>147</v>
      </c>
      <c r="F26" s="3" t="s">
        <v>425</v>
      </c>
      <c r="G26" s="3" t="s">
        <v>425</v>
      </c>
      <c r="H26" s="5" t="s">
        <v>425</v>
      </c>
      <c r="I26" s="5"/>
      <c r="J26" s="3" t="s">
        <v>425</v>
      </c>
      <c r="K26" s="12" t="s">
        <v>425</v>
      </c>
      <c r="L26" s="3" t="s">
        <v>425</v>
      </c>
      <c r="M26" s="3" t="s">
        <v>425</v>
      </c>
      <c r="N26" s="3" t="s">
        <v>425</v>
      </c>
      <c r="O26" s="3" t="s">
        <v>425</v>
      </c>
      <c r="P26" s="3" t="s">
        <v>425</v>
      </c>
      <c r="Q26" s="3" t="s">
        <v>425</v>
      </c>
    </row>
    <row r="27" spans="1:17" x14ac:dyDescent="0.2">
      <c r="A27" s="15">
        <f t="shared" si="0"/>
        <v>25</v>
      </c>
      <c r="B27" s="3" t="s">
        <v>63</v>
      </c>
      <c r="C27" s="3" t="str">
        <f>VLOOKUP(B27,Listas!A$3:C$30,3,0)</f>
        <v>Secretaria Municipal de Educação</v>
      </c>
      <c r="D27" s="3" t="str">
        <f>VLOOKUP(B27,Listas!A$3:C$30,2,0)</f>
        <v>18101</v>
      </c>
      <c r="E27" s="13" t="s">
        <v>148</v>
      </c>
      <c r="F27" s="3" t="s">
        <v>425</v>
      </c>
      <c r="G27" s="3" t="s">
        <v>425</v>
      </c>
      <c r="H27" s="5" t="s">
        <v>425</v>
      </c>
      <c r="I27" s="5"/>
      <c r="J27" s="3" t="s">
        <v>425</v>
      </c>
      <c r="K27" s="12" t="s">
        <v>425</v>
      </c>
      <c r="L27" s="3" t="s">
        <v>425</v>
      </c>
      <c r="M27" s="3" t="s">
        <v>425</v>
      </c>
      <c r="N27" s="3" t="s">
        <v>425</v>
      </c>
      <c r="O27" s="3" t="s">
        <v>425</v>
      </c>
      <c r="P27" s="3" t="s">
        <v>425</v>
      </c>
      <c r="Q27" s="3" t="s">
        <v>425</v>
      </c>
    </row>
    <row r="28" spans="1:17" x14ac:dyDescent="0.2">
      <c r="A28" s="15">
        <f t="shared" si="0"/>
        <v>26</v>
      </c>
      <c r="B28" s="3" t="s">
        <v>63</v>
      </c>
      <c r="C28" s="3" t="str">
        <f>VLOOKUP(B28,Listas!A$3:C$30,3,0)</f>
        <v>Secretaria Municipal de Educação</v>
      </c>
      <c r="D28" s="3" t="str">
        <f>VLOOKUP(B28,Listas!A$3:C$30,2,0)</f>
        <v>18101</v>
      </c>
      <c r="E28" s="13" t="s">
        <v>149</v>
      </c>
      <c r="F28" s="3" t="s">
        <v>425</v>
      </c>
      <c r="G28" s="3" t="s">
        <v>425</v>
      </c>
      <c r="H28" s="5" t="s">
        <v>425</v>
      </c>
      <c r="I28" s="5"/>
      <c r="J28" s="3" t="s">
        <v>425</v>
      </c>
      <c r="K28" s="12" t="s">
        <v>425</v>
      </c>
      <c r="L28" s="3" t="s">
        <v>425</v>
      </c>
      <c r="M28" s="3" t="s">
        <v>425</v>
      </c>
      <c r="N28" s="3" t="s">
        <v>425</v>
      </c>
      <c r="O28" s="3" t="s">
        <v>425</v>
      </c>
      <c r="P28" s="3" t="s">
        <v>425</v>
      </c>
      <c r="Q28" s="3" t="s">
        <v>425</v>
      </c>
    </row>
    <row r="29" spans="1:17" x14ac:dyDescent="0.2">
      <c r="A29" s="15">
        <f t="shared" si="0"/>
        <v>27</v>
      </c>
      <c r="B29" s="3" t="s">
        <v>63</v>
      </c>
      <c r="C29" s="3" t="str">
        <f>VLOOKUP(B29,Listas!A$3:C$30,3,0)</f>
        <v>Secretaria Municipal de Educação</v>
      </c>
      <c r="D29" s="3" t="str">
        <f>VLOOKUP(B29,Listas!A$3:C$30,2,0)</f>
        <v>18101</v>
      </c>
      <c r="E29" s="13" t="s">
        <v>150</v>
      </c>
      <c r="F29" s="3" t="s">
        <v>425</v>
      </c>
      <c r="G29" s="3" t="s">
        <v>425</v>
      </c>
      <c r="H29" s="5" t="s">
        <v>425</v>
      </c>
      <c r="I29" s="5"/>
      <c r="J29" s="3" t="s">
        <v>425</v>
      </c>
      <c r="K29" s="12" t="s">
        <v>425</v>
      </c>
      <c r="L29" s="3" t="s">
        <v>425</v>
      </c>
      <c r="M29" s="3" t="s">
        <v>425</v>
      </c>
      <c r="N29" s="3" t="s">
        <v>425</v>
      </c>
      <c r="O29" s="3" t="s">
        <v>425</v>
      </c>
      <c r="P29" s="3" t="s">
        <v>425</v>
      </c>
      <c r="Q29" s="3" t="s">
        <v>425</v>
      </c>
    </row>
    <row r="30" spans="1:17" x14ac:dyDescent="0.2">
      <c r="A30" s="15">
        <f t="shared" si="0"/>
        <v>28</v>
      </c>
      <c r="B30" s="3" t="s">
        <v>63</v>
      </c>
      <c r="C30" s="3" t="str">
        <f>VLOOKUP(B30,Listas!A$3:C$30,3,0)</f>
        <v>Secretaria Municipal de Educação</v>
      </c>
      <c r="D30" s="3" t="str">
        <f>VLOOKUP(B30,Listas!A$3:C$30,2,0)</f>
        <v>18101</v>
      </c>
      <c r="E30" s="13" t="s">
        <v>151</v>
      </c>
      <c r="F30" s="3" t="s">
        <v>425</v>
      </c>
      <c r="G30" s="3" t="s">
        <v>425</v>
      </c>
      <c r="H30" s="5" t="s">
        <v>425</v>
      </c>
      <c r="I30" s="5"/>
      <c r="J30" s="3" t="s">
        <v>425</v>
      </c>
      <c r="K30" s="12" t="s">
        <v>425</v>
      </c>
      <c r="L30" s="3" t="s">
        <v>425</v>
      </c>
      <c r="M30" s="3" t="s">
        <v>425</v>
      </c>
      <c r="N30" s="3" t="s">
        <v>425</v>
      </c>
      <c r="O30" s="3" t="s">
        <v>425</v>
      </c>
      <c r="P30" s="3" t="s">
        <v>425</v>
      </c>
      <c r="Q30" s="3" t="s">
        <v>425</v>
      </c>
    </row>
    <row r="31" spans="1:17" x14ac:dyDescent="0.2">
      <c r="A31" s="15">
        <f t="shared" si="0"/>
        <v>29</v>
      </c>
      <c r="B31" s="3" t="s">
        <v>63</v>
      </c>
      <c r="C31" s="3" t="str">
        <f>VLOOKUP(B31,Listas!A$3:C$30,3,0)</f>
        <v>Secretaria Municipal de Educação</v>
      </c>
      <c r="D31" s="3" t="str">
        <f>VLOOKUP(B31,Listas!A$3:C$30,2,0)</f>
        <v>18101</v>
      </c>
      <c r="E31" s="13" t="s">
        <v>152</v>
      </c>
      <c r="F31" s="3" t="s">
        <v>425</v>
      </c>
      <c r="G31" s="3" t="s">
        <v>425</v>
      </c>
      <c r="H31" s="5" t="s">
        <v>425</v>
      </c>
      <c r="I31" s="5"/>
      <c r="J31" s="3" t="s">
        <v>425</v>
      </c>
      <c r="K31" s="12" t="s">
        <v>425</v>
      </c>
      <c r="L31" s="3" t="s">
        <v>425</v>
      </c>
      <c r="M31" s="3" t="s">
        <v>425</v>
      </c>
      <c r="N31" s="3" t="s">
        <v>425</v>
      </c>
      <c r="O31" s="3" t="s">
        <v>425</v>
      </c>
      <c r="P31" s="3" t="s">
        <v>425</v>
      </c>
      <c r="Q31" s="3" t="s">
        <v>425</v>
      </c>
    </row>
    <row r="32" spans="1:17" x14ac:dyDescent="0.2">
      <c r="A32" s="15">
        <f t="shared" si="0"/>
        <v>30</v>
      </c>
      <c r="B32" s="3" t="s">
        <v>63</v>
      </c>
      <c r="C32" s="3" t="str">
        <f>VLOOKUP(B32,Listas!A$3:C$30,3,0)</f>
        <v>Secretaria Municipal de Educação</v>
      </c>
      <c r="D32" s="3" t="str">
        <f>VLOOKUP(B32,Listas!A$3:C$30,2,0)</f>
        <v>18101</v>
      </c>
      <c r="E32" s="13" t="s">
        <v>153</v>
      </c>
      <c r="F32" s="3" t="s">
        <v>425</v>
      </c>
      <c r="G32" s="3" t="s">
        <v>425</v>
      </c>
      <c r="H32" s="5" t="s">
        <v>425</v>
      </c>
      <c r="I32" s="5"/>
      <c r="J32" s="3" t="s">
        <v>425</v>
      </c>
      <c r="K32" s="12" t="s">
        <v>425</v>
      </c>
      <c r="L32" s="3" t="s">
        <v>425</v>
      </c>
      <c r="M32" s="3" t="s">
        <v>425</v>
      </c>
      <c r="N32" s="3" t="s">
        <v>425</v>
      </c>
      <c r="O32" s="3" t="s">
        <v>425</v>
      </c>
      <c r="P32" s="3" t="s">
        <v>425</v>
      </c>
      <c r="Q32" s="3" t="s">
        <v>425</v>
      </c>
    </row>
    <row r="33" spans="1:17" x14ac:dyDescent="0.2">
      <c r="A33" s="15">
        <f t="shared" si="0"/>
        <v>31</v>
      </c>
      <c r="B33" s="3" t="s">
        <v>63</v>
      </c>
      <c r="C33" s="3" t="str">
        <f>VLOOKUP(B33,Listas!A$3:C$30,3,0)</f>
        <v>Secretaria Municipal de Educação</v>
      </c>
      <c r="D33" s="3" t="str">
        <f>VLOOKUP(B33,Listas!A$3:C$30,2,0)</f>
        <v>18101</v>
      </c>
      <c r="E33" s="13" t="s">
        <v>154</v>
      </c>
      <c r="F33" s="3" t="s">
        <v>425</v>
      </c>
      <c r="G33" s="3" t="s">
        <v>425</v>
      </c>
      <c r="H33" s="5" t="s">
        <v>425</v>
      </c>
      <c r="I33" s="5"/>
      <c r="J33" s="3" t="s">
        <v>425</v>
      </c>
      <c r="K33" s="12" t="s">
        <v>425</v>
      </c>
      <c r="L33" s="3" t="s">
        <v>425</v>
      </c>
      <c r="M33" s="3" t="s">
        <v>425</v>
      </c>
      <c r="N33" s="3" t="s">
        <v>425</v>
      </c>
      <c r="O33" s="3" t="s">
        <v>425</v>
      </c>
      <c r="P33" s="3" t="s">
        <v>425</v>
      </c>
      <c r="Q33" s="3" t="s">
        <v>425</v>
      </c>
    </row>
    <row r="34" spans="1:17" x14ac:dyDescent="0.2">
      <c r="A34" s="15">
        <f t="shared" si="0"/>
        <v>32</v>
      </c>
      <c r="B34" s="3" t="s">
        <v>63</v>
      </c>
      <c r="C34" s="3" t="str">
        <f>VLOOKUP(B34,Listas!A$3:C$30,3,0)</f>
        <v>Secretaria Municipal de Educação</v>
      </c>
      <c r="D34" s="3" t="str">
        <f>VLOOKUP(B34,Listas!A$3:C$30,2,0)</f>
        <v>18101</v>
      </c>
      <c r="E34" s="13" t="s">
        <v>155</v>
      </c>
      <c r="F34" s="3" t="s">
        <v>425</v>
      </c>
      <c r="G34" s="3" t="s">
        <v>425</v>
      </c>
      <c r="H34" s="5" t="s">
        <v>425</v>
      </c>
      <c r="I34" s="5"/>
      <c r="J34" s="3" t="s">
        <v>425</v>
      </c>
      <c r="K34" s="12" t="s">
        <v>425</v>
      </c>
      <c r="L34" s="3" t="s">
        <v>425</v>
      </c>
      <c r="M34" s="3" t="s">
        <v>425</v>
      </c>
      <c r="N34" s="3" t="s">
        <v>425</v>
      </c>
      <c r="O34" s="3" t="s">
        <v>425</v>
      </c>
      <c r="P34" s="3" t="s">
        <v>425</v>
      </c>
      <c r="Q34" s="3" t="s">
        <v>425</v>
      </c>
    </row>
    <row r="35" spans="1:17" x14ac:dyDescent="0.2">
      <c r="A35" s="15">
        <f t="shared" si="0"/>
        <v>33</v>
      </c>
      <c r="B35" s="3" t="s">
        <v>63</v>
      </c>
      <c r="C35" s="3" t="str">
        <f>VLOOKUP(B35,Listas!A$3:C$30,3,0)</f>
        <v>Secretaria Municipal de Educação</v>
      </c>
      <c r="D35" s="3" t="str">
        <f>VLOOKUP(B35,Listas!A$3:C$30,2,0)</f>
        <v>18101</v>
      </c>
      <c r="E35" s="13" t="s">
        <v>156</v>
      </c>
      <c r="F35" s="3" t="s">
        <v>425</v>
      </c>
      <c r="G35" s="3" t="s">
        <v>425</v>
      </c>
      <c r="H35" s="5" t="s">
        <v>425</v>
      </c>
      <c r="I35" s="5"/>
      <c r="J35" s="3" t="s">
        <v>425</v>
      </c>
      <c r="K35" s="12" t="s">
        <v>425</v>
      </c>
      <c r="L35" s="3" t="s">
        <v>425</v>
      </c>
      <c r="M35" s="3" t="s">
        <v>425</v>
      </c>
      <c r="N35" s="3" t="s">
        <v>425</v>
      </c>
      <c r="O35" s="3" t="s">
        <v>425</v>
      </c>
      <c r="P35" s="3" t="s">
        <v>425</v>
      </c>
      <c r="Q35" s="3" t="s">
        <v>425</v>
      </c>
    </row>
    <row r="36" spans="1:17" x14ac:dyDescent="0.2">
      <c r="A36" s="15">
        <f t="shared" si="0"/>
        <v>34</v>
      </c>
      <c r="B36" s="3" t="s">
        <v>63</v>
      </c>
      <c r="C36" s="3" t="str">
        <f>VLOOKUP(B36,Listas!A$3:C$30,3,0)</f>
        <v>Secretaria Municipal de Educação</v>
      </c>
      <c r="D36" s="3" t="str">
        <f>VLOOKUP(B36,Listas!A$3:C$30,2,0)</f>
        <v>18101</v>
      </c>
      <c r="E36" s="13" t="s">
        <v>157</v>
      </c>
      <c r="F36" s="3" t="s">
        <v>425</v>
      </c>
      <c r="G36" s="3" t="s">
        <v>425</v>
      </c>
      <c r="H36" s="5" t="s">
        <v>425</v>
      </c>
      <c r="I36" s="5"/>
      <c r="J36" s="3" t="s">
        <v>425</v>
      </c>
      <c r="K36" s="12" t="s">
        <v>425</v>
      </c>
      <c r="L36" s="3" t="s">
        <v>425</v>
      </c>
      <c r="M36" s="3" t="s">
        <v>425</v>
      </c>
      <c r="N36" s="3" t="s">
        <v>425</v>
      </c>
      <c r="O36" s="3" t="s">
        <v>425</v>
      </c>
      <c r="P36" s="3" t="s">
        <v>425</v>
      </c>
      <c r="Q36" s="3" t="s">
        <v>425</v>
      </c>
    </row>
    <row r="37" spans="1:17" x14ac:dyDescent="0.2">
      <c r="A37" s="15">
        <f t="shared" si="0"/>
        <v>35</v>
      </c>
      <c r="B37" s="3" t="s">
        <v>63</v>
      </c>
      <c r="C37" s="3" t="str">
        <f>VLOOKUP(B37,Listas!A$3:C$30,3,0)</f>
        <v>Secretaria Municipal de Educação</v>
      </c>
      <c r="D37" s="3" t="str">
        <f>VLOOKUP(B37,Listas!A$3:C$30,2,0)</f>
        <v>18101</v>
      </c>
      <c r="E37" s="13" t="s">
        <v>158</v>
      </c>
      <c r="F37" s="3" t="s">
        <v>425</v>
      </c>
      <c r="G37" s="3" t="s">
        <v>425</v>
      </c>
      <c r="H37" s="5" t="s">
        <v>425</v>
      </c>
      <c r="I37" s="5"/>
      <c r="J37" s="3" t="s">
        <v>425</v>
      </c>
      <c r="K37" s="12" t="s">
        <v>425</v>
      </c>
      <c r="L37" s="3" t="s">
        <v>425</v>
      </c>
      <c r="M37" s="3" t="s">
        <v>425</v>
      </c>
      <c r="N37" s="3" t="s">
        <v>425</v>
      </c>
      <c r="O37" s="3" t="s">
        <v>425</v>
      </c>
      <c r="P37" s="3" t="s">
        <v>425</v>
      </c>
      <c r="Q37" s="3" t="s">
        <v>425</v>
      </c>
    </row>
    <row r="38" spans="1:17" x14ac:dyDescent="0.2">
      <c r="A38" s="15">
        <f t="shared" si="0"/>
        <v>36</v>
      </c>
      <c r="B38" s="3" t="s">
        <v>63</v>
      </c>
      <c r="C38" s="3" t="str">
        <f>VLOOKUP(B38,Listas!A$3:C$30,3,0)</f>
        <v>Secretaria Municipal de Educação</v>
      </c>
      <c r="D38" s="3" t="str">
        <f>VLOOKUP(B38,Listas!A$3:C$30,2,0)</f>
        <v>18101</v>
      </c>
      <c r="E38" s="13" t="s">
        <v>159</v>
      </c>
      <c r="F38" s="3" t="s">
        <v>425</v>
      </c>
      <c r="G38" s="3" t="s">
        <v>425</v>
      </c>
      <c r="H38" s="5" t="s">
        <v>425</v>
      </c>
      <c r="I38" s="5"/>
      <c r="J38" s="3" t="s">
        <v>425</v>
      </c>
      <c r="K38" s="12" t="s">
        <v>425</v>
      </c>
      <c r="L38" s="3" t="s">
        <v>425</v>
      </c>
      <c r="M38" s="3" t="s">
        <v>425</v>
      </c>
      <c r="N38" s="3" t="s">
        <v>425</v>
      </c>
      <c r="O38" s="3" t="s">
        <v>425</v>
      </c>
      <c r="P38" s="3" t="s">
        <v>425</v>
      </c>
      <c r="Q38" s="3" t="s">
        <v>425</v>
      </c>
    </row>
    <row r="39" spans="1:17" x14ac:dyDescent="0.2">
      <c r="A39" s="15">
        <f t="shared" si="0"/>
        <v>37</v>
      </c>
      <c r="B39" s="3" t="s">
        <v>63</v>
      </c>
      <c r="C39" s="3" t="str">
        <f>VLOOKUP(B39,Listas!A$3:C$30,3,0)</f>
        <v>Secretaria Municipal de Educação</v>
      </c>
      <c r="D39" s="3" t="str">
        <f>VLOOKUP(B39,Listas!A$3:C$30,2,0)</f>
        <v>18101</v>
      </c>
      <c r="E39" s="13" t="s">
        <v>160</v>
      </c>
      <c r="F39" s="3" t="s">
        <v>425</v>
      </c>
      <c r="G39" s="3" t="s">
        <v>425</v>
      </c>
      <c r="H39" s="5" t="s">
        <v>425</v>
      </c>
      <c r="I39" s="5"/>
      <c r="J39" s="3" t="s">
        <v>425</v>
      </c>
      <c r="K39" s="12" t="s">
        <v>425</v>
      </c>
      <c r="L39" s="3" t="s">
        <v>425</v>
      </c>
      <c r="M39" s="3" t="s">
        <v>425</v>
      </c>
      <c r="N39" s="3" t="s">
        <v>425</v>
      </c>
      <c r="O39" s="3" t="s">
        <v>425</v>
      </c>
      <c r="P39" s="3" t="s">
        <v>425</v>
      </c>
      <c r="Q39" s="3" t="s">
        <v>425</v>
      </c>
    </row>
    <row r="40" spans="1:17" x14ac:dyDescent="0.2">
      <c r="A40" s="15">
        <f t="shared" si="0"/>
        <v>38</v>
      </c>
      <c r="B40" s="3" t="s">
        <v>63</v>
      </c>
      <c r="C40" s="3" t="str">
        <f>VLOOKUP(B40,Listas!A$3:C$30,3,0)</f>
        <v>Secretaria Municipal de Educação</v>
      </c>
      <c r="D40" s="3" t="str">
        <f>VLOOKUP(B40,Listas!A$3:C$30,2,0)</f>
        <v>18101</v>
      </c>
      <c r="E40" s="13" t="s">
        <v>161</v>
      </c>
      <c r="F40" s="3" t="s">
        <v>425</v>
      </c>
      <c r="G40" s="3" t="s">
        <v>425</v>
      </c>
      <c r="H40" s="5" t="s">
        <v>425</v>
      </c>
      <c r="I40" s="5"/>
      <c r="J40" s="3" t="s">
        <v>425</v>
      </c>
      <c r="K40" s="12" t="s">
        <v>425</v>
      </c>
      <c r="L40" s="3" t="s">
        <v>425</v>
      </c>
      <c r="M40" s="3" t="s">
        <v>425</v>
      </c>
      <c r="N40" s="3" t="s">
        <v>425</v>
      </c>
      <c r="O40" s="3" t="s">
        <v>425</v>
      </c>
      <c r="P40" s="3" t="s">
        <v>425</v>
      </c>
      <c r="Q40" s="3" t="s">
        <v>425</v>
      </c>
    </row>
    <row r="41" spans="1:17" x14ac:dyDescent="0.2">
      <c r="A41" s="15">
        <f t="shared" si="0"/>
        <v>39</v>
      </c>
      <c r="B41" s="3" t="s">
        <v>63</v>
      </c>
      <c r="C41" s="3" t="str">
        <f>VLOOKUP(B41,Listas!A$3:C$30,3,0)</f>
        <v>Secretaria Municipal de Educação</v>
      </c>
      <c r="D41" s="3" t="str">
        <f>VLOOKUP(B41,Listas!A$3:C$30,2,0)</f>
        <v>18101</v>
      </c>
      <c r="E41" s="13" t="s">
        <v>162</v>
      </c>
      <c r="F41" s="3" t="s">
        <v>425</v>
      </c>
      <c r="G41" s="3" t="s">
        <v>425</v>
      </c>
      <c r="H41" s="5" t="s">
        <v>425</v>
      </c>
      <c r="I41" s="5"/>
      <c r="J41" s="3" t="s">
        <v>425</v>
      </c>
      <c r="K41" s="12" t="s">
        <v>425</v>
      </c>
      <c r="L41" s="3" t="s">
        <v>425</v>
      </c>
      <c r="M41" s="3" t="s">
        <v>425</v>
      </c>
      <c r="N41" s="3" t="s">
        <v>425</v>
      </c>
      <c r="O41" s="3" t="s">
        <v>425</v>
      </c>
      <c r="P41" s="3" t="s">
        <v>425</v>
      </c>
      <c r="Q41" s="3" t="s">
        <v>425</v>
      </c>
    </row>
    <row r="42" spans="1:17" x14ac:dyDescent="0.2">
      <c r="A42" s="15">
        <f t="shared" si="0"/>
        <v>40</v>
      </c>
      <c r="B42" s="3" t="s">
        <v>63</v>
      </c>
      <c r="C42" s="3" t="str">
        <f>VLOOKUP(B42,Listas!A$3:C$30,3,0)</f>
        <v>Secretaria Municipal de Educação</v>
      </c>
      <c r="D42" s="3" t="str">
        <f>VLOOKUP(B42,Listas!A$3:C$30,2,0)</f>
        <v>18101</v>
      </c>
      <c r="E42" s="13" t="s">
        <v>163</v>
      </c>
      <c r="F42" s="3" t="s">
        <v>425</v>
      </c>
      <c r="G42" s="3" t="s">
        <v>425</v>
      </c>
      <c r="H42" s="5" t="s">
        <v>425</v>
      </c>
      <c r="I42" s="5"/>
      <c r="J42" s="3" t="s">
        <v>425</v>
      </c>
      <c r="K42" s="12" t="s">
        <v>425</v>
      </c>
      <c r="L42" s="3" t="s">
        <v>425</v>
      </c>
      <c r="M42" s="3" t="s">
        <v>425</v>
      </c>
      <c r="N42" s="3" t="s">
        <v>425</v>
      </c>
      <c r="O42" s="3" t="s">
        <v>425</v>
      </c>
      <c r="P42" s="3" t="s">
        <v>425</v>
      </c>
      <c r="Q42" s="3" t="s">
        <v>425</v>
      </c>
    </row>
    <row r="43" spans="1:17" x14ac:dyDescent="0.2">
      <c r="A43" s="15">
        <f t="shared" si="0"/>
        <v>41</v>
      </c>
      <c r="B43" s="3" t="s">
        <v>63</v>
      </c>
      <c r="C43" s="3" t="str">
        <f>VLOOKUP(B43,Listas!A$3:C$30,3,0)</f>
        <v>Secretaria Municipal de Educação</v>
      </c>
      <c r="D43" s="3" t="str">
        <f>VLOOKUP(B43,Listas!A$3:C$30,2,0)</f>
        <v>18101</v>
      </c>
      <c r="E43" s="13" t="s">
        <v>164</v>
      </c>
      <c r="F43" s="3" t="s">
        <v>425</v>
      </c>
      <c r="G43" s="3" t="s">
        <v>425</v>
      </c>
      <c r="H43" s="5" t="s">
        <v>425</v>
      </c>
      <c r="I43" s="5"/>
      <c r="J43" s="3" t="s">
        <v>425</v>
      </c>
      <c r="K43" s="12" t="s">
        <v>425</v>
      </c>
      <c r="L43" s="3" t="s">
        <v>425</v>
      </c>
      <c r="M43" s="3" t="s">
        <v>425</v>
      </c>
      <c r="N43" s="3" t="s">
        <v>425</v>
      </c>
      <c r="O43" s="3" t="s">
        <v>425</v>
      </c>
      <c r="P43" s="3" t="s">
        <v>425</v>
      </c>
      <c r="Q43" s="3" t="s">
        <v>425</v>
      </c>
    </row>
    <row r="44" spans="1:17" x14ac:dyDescent="0.2">
      <c r="A44" s="15">
        <f t="shared" si="0"/>
        <v>42</v>
      </c>
      <c r="B44" s="3" t="s">
        <v>63</v>
      </c>
      <c r="C44" s="3" t="str">
        <f>VLOOKUP(B44,Listas!A$3:C$30,3,0)</f>
        <v>Secretaria Municipal de Educação</v>
      </c>
      <c r="D44" s="3" t="str">
        <f>VLOOKUP(B44,Listas!A$3:C$30,2,0)</f>
        <v>18101</v>
      </c>
      <c r="E44" s="13" t="s">
        <v>165</v>
      </c>
      <c r="F44" s="3" t="s">
        <v>425</v>
      </c>
      <c r="G44" s="3" t="s">
        <v>425</v>
      </c>
      <c r="H44" s="5" t="s">
        <v>425</v>
      </c>
      <c r="I44" s="5"/>
      <c r="J44" s="3" t="s">
        <v>425</v>
      </c>
      <c r="K44" s="12" t="s">
        <v>425</v>
      </c>
      <c r="L44" s="3" t="s">
        <v>425</v>
      </c>
      <c r="M44" s="3" t="s">
        <v>425</v>
      </c>
      <c r="N44" s="3" t="s">
        <v>425</v>
      </c>
      <c r="O44" s="3" t="s">
        <v>425</v>
      </c>
      <c r="P44" s="3" t="s">
        <v>425</v>
      </c>
      <c r="Q44" s="3" t="s">
        <v>425</v>
      </c>
    </row>
    <row r="45" spans="1:17" x14ac:dyDescent="0.2">
      <c r="A45" s="15">
        <f t="shared" si="0"/>
        <v>43</v>
      </c>
      <c r="B45" s="3" t="s">
        <v>63</v>
      </c>
      <c r="C45" s="3" t="str">
        <f>VLOOKUP(B45,Listas!A$3:C$30,3,0)</f>
        <v>Secretaria Municipal de Educação</v>
      </c>
      <c r="D45" s="3" t="str">
        <f>VLOOKUP(B45,Listas!A$3:C$30,2,0)</f>
        <v>18101</v>
      </c>
      <c r="E45" s="13" t="s">
        <v>166</v>
      </c>
      <c r="F45" s="3" t="s">
        <v>425</v>
      </c>
      <c r="G45" s="3" t="s">
        <v>425</v>
      </c>
      <c r="H45" s="5" t="s">
        <v>425</v>
      </c>
      <c r="I45" s="5"/>
      <c r="J45" s="3" t="s">
        <v>425</v>
      </c>
      <c r="K45" s="12" t="s">
        <v>425</v>
      </c>
      <c r="L45" s="3" t="s">
        <v>425</v>
      </c>
      <c r="M45" s="3" t="s">
        <v>425</v>
      </c>
      <c r="N45" s="3" t="s">
        <v>425</v>
      </c>
      <c r="O45" s="3" t="s">
        <v>425</v>
      </c>
      <c r="P45" s="3" t="s">
        <v>425</v>
      </c>
      <c r="Q45" s="3" t="s">
        <v>425</v>
      </c>
    </row>
    <row r="46" spans="1:17" x14ac:dyDescent="0.2">
      <c r="A46" s="15">
        <f t="shared" si="0"/>
        <v>44</v>
      </c>
      <c r="B46" s="3" t="s">
        <v>63</v>
      </c>
      <c r="C46" s="3" t="str">
        <f>VLOOKUP(B46,Listas!A$3:C$30,3,0)</f>
        <v>Secretaria Municipal de Educação</v>
      </c>
      <c r="D46" s="3" t="str">
        <f>VLOOKUP(B46,Listas!A$3:C$30,2,0)</f>
        <v>18101</v>
      </c>
      <c r="E46" s="13" t="s">
        <v>167</v>
      </c>
      <c r="F46" s="3" t="s">
        <v>425</v>
      </c>
      <c r="G46" s="3" t="s">
        <v>425</v>
      </c>
      <c r="H46" s="5" t="s">
        <v>425</v>
      </c>
      <c r="I46" s="5"/>
      <c r="J46" s="3" t="s">
        <v>425</v>
      </c>
      <c r="K46" s="12" t="s">
        <v>425</v>
      </c>
      <c r="L46" s="3" t="s">
        <v>425</v>
      </c>
      <c r="M46" s="3" t="s">
        <v>425</v>
      </c>
      <c r="N46" s="3" t="s">
        <v>425</v>
      </c>
      <c r="O46" s="3" t="s">
        <v>425</v>
      </c>
      <c r="P46" s="3" t="s">
        <v>425</v>
      </c>
      <c r="Q46" s="3" t="s">
        <v>425</v>
      </c>
    </row>
    <row r="47" spans="1:17" x14ac:dyDescent="0.2">
      <c r="A47" s="15">
        <f t="shared" si="0"/>
        <v>45</v>
      </c>
      <c r="B47" s="3" t="s">
        <v>63</v>
      </c>
      <c r="C47" s="3" t="str">
        <f>VLOOKUP(B47,Listas!A$3:C$30,3,0)</f>
        <v>Secretaria Municipal de Educação</v>
      </c>
      <c r="D47" s="3" t="str">
        <f>VLOOKUP(B47,Listas!A$3:C$30,2,0)</f>
        <v>18101</v>
      </c>
      <c r="E47" s="13" t="s">
        <v>168</v>
      </c>
      <c r="F47" s="3" t="s">
        <v>425</v>
      </c>
      <c r="G47" s="3" t="s">
        <v>425</v>
      </c>
      <c r="H47" s="5" t="s">
        <v>425</v>
      </c>
      <c r="I47" s="5"/>
      <c r="J47" s="3" t="s">
        <v>425</v>
      </c>
      <c r="K47" s="12" t="s">
        <v>425</v>
      </c>
      <c r="L47" s="3" t="s">
        <v>425</v>
      </c>
      <c r="M47" s="3" t="s">
        <v>425</v>
      </c>
      <c r="N47" s="3" t="s">
        <v>425</v>
      </c>
      <c r="O47" s="3" t="s">
        <v>425</v>
      </c>
      <c r="P47" s="3" t="s">
        <v>425</v>
      </c>
      <c r="Q47" s="3" t="s">
        <v>425</v>
      </c>
    </row>
    <row r="48" spans="1:17" x14ac:dyDescent="0.2">
      <c r="A48" s="15">
        <f t="shared" si="0"/>
        <v>46</v>
      </c>
      <c r="B48" s="3" t="s">
        <v>63</v>
      </c>
      <c r="C48" s="3" t="str">
        <f>VLOOKUP(B48,Listas!A$3:C$30,3,0)</f>
        <v>Secretaria Municipal de Educação</v>
      </c>
      <c r="D48" s="3" t="str">
        <f>VLOOKUP(B48,Listas!A$3:C$30,2,0)</f>
        <v>18101</v>
      </c>
      <c r="E48" s="13" t="s">
        <v>169</v>
      </c>
      <c r="F48" s="3" t="s">
        <v>425</v>
      </c>
      <c r="G48" s="3" t="s">
        <v>425</v>
      </c>
      <c r="H48" s="5" t="s">
        <v>425</v>
      </c>
      <c r="I48" s="5"/>
      <c r="J48" s="3" t="s">
        <v>425</v>
      </c>
      <c r="K48" s="12" t="s">
        <v>425</v>
      </c>
      <c r="L48" s="3" t="s">
        <v>425</v>
      </c>
      <c r="M48" s="3" t="s">
        <v>425</v>
      </c>
      <c r="N48" s="3" t="s">
        <v>425</v>
      </c>
      <c r="O48" s="3" t="s">
        <v>425</v>
      </c>
      <c r="P48" s="3" t="s">
        <v>425</v>
      </c>
      <c r="Q48" s="3" t="s">
        <v>425</v>
      </c>
    </row>
    <row r="49" spans="1:17" x14ac:dyDescent="0.2">
      <c r="A49" s="15">
        <f t="shared" si="0"/>
        <v>47</v>
      </c>
      <c r="B49" s="3" t="s">
        <v>63</v>
      </c>
      <c r="C49" s="3" t="str">
        <f>VLOOKUP(B49,Listas!A$3:C$30,3,0)</f>
        <v>Secretaria Municipal de Educação</v>
      </c>
      <c r="D49" s="3" t="str">
        <f>VLOOKUP(B49,Listas!A$3:C$30,2,0)</f>
        <v>18101</v>
      </c>
      <c r="E49" s="13" t="s">
        <v>170</v>
      </c>
      <c r="F49" s="3" t="s">
        <v>425</v>
      </c>
      <c r="G49" s="3" t="s">
        <v>425</v>
      </c>
      <c r="H49" s="5" t="s">
        <v>425</v>
      </c>
      <c r="I49" s="5"/>
      <c r="J49" s="3" t="s">
        <v>425</v>
      </c>
      <c r="K49" s="12" t="s">
        <v>425</v>
      </c>
      <c r="L49" s="3" t="s">
        <v>425</v>
      </c>
      <c r="M49" s="3" t="s">
        <v>425</v>
      </c>
      <c r="N49" s="3" t="s">
        <v>425</v>
      </c>
      <c r="O49" s="3" t="s">
        <v>425</v>
      </c>
      <c r="P49" s="3" t="s">
        <v>425</v>
      </c>
      <c r="Q49" s="3" t="s">
        <v>425</v>
      </c>
    </row>
    <row r="50" spans="1:17" x14ac:dyDescent="0.2">
      <c r="A50" s="15">
        <f t="shared" si="0"/>
        <v>48</v>
      </c>
      <c r="B50" s="3" t="s">
        <v>63</v>
      </c>
      <c r="C50" s="3" t="str">
        <f>VLOOKUP(B50,Listas!A$3:C$30,3,0)</f>
        <v>Secretaria Municipal de Educação</v>
      </c>
      <c r="D50" s="3" t="str">
        <f>VLOOKUP(B50,Listas!A$3:C$30,2,0)</f>
        <v>18101</v>
      </c>
      <c r="E50" s="13" t="s">
        <v>171</v>
      </c>
      <c r="F50" s="3" t="s">
        <v>425</v>
      </c>
      <c r="G50" s="3" t="s">
        <v>425</v>
      </c>
      <c r="H50" s="5" t="s">
        <v>425</v>
      </c>
      <c r="I50" s="5"/>
      <c r="J50" s="3" t="s">
        <v>425</v>
      </c>
      <c r="K50" s="12" t="s">
        <v>425</v>
      </c>
      <c r="L50" s="3" t="s">
        <v>425</v>
      </c>
      <c r="M50" s="3" t="s">
        <v>425</v>
      </c>
      <c r="N50" s="3" t="s">
        <v>425</v>
      </c>
      <c r="O50" s="3" t="s">
        <v>425</v>
      </c>
      <c r="P50" s="3" t="s">
        <v>425</v>
      </c>
      <c r="Q50" s="3" t="s">
        <v>425</v>
      </c>
    </row>
    <row r="51" spans="1:17" x14ac:dyDescent="0.2">
      <c r="A51" s="15">
        <f t="shared" si="0"/>
        <v>49</v>
      </c>
      <c r="B51" s="3" t="s">
        <v>63</v>
      </c>
      <c r="C51" s="3" t="str">
        <f>VLOOKUP(B51,Listas!A$3:C$30,3,0)</f>
        <v>Secretaria Municipal de Educação</v>
      </c>
      <c r="D51" s="3" t="str">
        <f>VLOOKUP(B51,Listas!A$3:C$30,2,0)</f>
        <v>18101</v>
      </c>
      <c r="E51" s="13" t="s">
        <v>172</v>
      </c>
      <c r="F51" s="3" t="s">
        <v>425</v>
      </c>
      <c r="G51" s="3" t="s">
        <v>425</v>
      </c>
      <c r="H51" s="5" t="s">
        <v>425</v>
      </c>
      <c r="I51" s="5"/>
      <c r="J51" s="3" t="s">
        <v>425</v>
      </c>
      <c r="K51" s="12" t="s">
        <v>425</v>
      </c>
      <c r="L51" s="3" t="s">
        <v>425</v>
      </c>
      <c r="M51" s="3" t="s">
        <v>425</v>
      </c>
      <c r="N51" s="3" t="s">
        <v>425</v>
      </c>
      <c r="O51" s="3" t="s">
        <v>425</v>
      </c>
      <c r="P51" s="3" t="s">
        <v>425</v>
      </c>
      <c r="Q51" s="3" t="s">
        <v>425</v>
      </c>
    </row>
    <row r="52" spans="1:17" x14ac:dyDescent="0.2">
      <c r="A52" s="15">
        <f t="shared" si="0"/>
        <v>50</v>
      </c>
      <c r="B52" s="3" t="s">
        <v>63</v>
      </c>
      <c r="C52" s="3" t="str">
        <f>VLOOKUP(B52,Listas!A$3:C$30,3,0)</f>
        <v>Secretaria Municipal de Educação</v>
      </c>
      <c r="D52" s="3" t="str">
        <f>VLOOKUP(B52,Listas!A$3:C$30,2,0)</f>
        <v>18101</v>
      </c>
      <c r="E52" s="13" t="s">
        <v>173</v>
      </c>
      <c r="F52" s="3" t="s">
        <v>425</v>
      </c>
      <c r="G52" s="3" t="s">
        <v>425</v>
      </c>
      <c r="H52" s="5" t="s">
        <v>425</v>
      </c>
      <c r="I52" s="5"/>
      <c r="J52" s="3" t="s">
        <v>425</v>
      </c>
      <c r="K52" s="12" t="s">
        <v>425</v>
      </c>
      <c r="L52" s="3" t="s">
        <v>425</v>
      </c>
      <c r="M52" s="3" t="s">
        <v>425</v>
      </c>
      <c r="N52" s="3" t="s">
        <v>425</v>
      </c>
      <c r="O52" s="3" t="s">
        <v>425</v>
      </c>
      <c r="P52" s="3" t="s">
        <v>425</v>
      </c>
      <c r="Q52" s="3" t="s">
        <v>425</v>
      </c>
    </row>
    <row r="53" spans="1:17" x14ac:dyDescent="0.2">
      <c r="A53" s="15">
        <f t="shared" si="0"/>
        <v>51</v>
      </c>
      <c r="B53" s="3" t="s">
        <v>63</v>
      </c>
      <c r="C53" s="3" t="str">
        <f>VLOOKUP(B53,Listas!A$3:C$30,3,0)</f>
        <v>Secretaria Municipal de Educação</v>
      </c>
      <c r="D53" s="3" t="str">
        <f>VLOOKUP(B53,Listas!A$3:C$30,2,0)</f>
        <v>18101</v>
      </c>
      <c r="E53" s="13" t="s">
        <v>174</v>
      </c>
      <c r="F53" s="3" t="s">
        <v>425</v>
      </c>
      <c r="G53" s="3" t="s">
        <v>425</v>
      </c>
      <c r="H53" s="5" t="s">
        <v>425</v>
      </c>
      <c r="I53" s="5"/>
      <c r="J53" s="3" t="s">
        <v>425</v>
      </c>
      <c r="K53" s="12" t="s">
        <v>425</v>
      </c>
      <c r="L53" s="3" t="s">
        <v>425</v>
      </c>
      <c r="M53" s="3" t="s">
        <v>425</v>
      </c>
      <c r="N53" s="3" t="s">
        <v>425</v>
      </c>
      <c r="O53" s="3" t="s">
        <v>425</v>
      </c>
      <c r="P53" s="3" t="s">
        <v>425</v>
      </c>
      <c r="Q53" s="3" t="s">
        <v>425</v>
      </c>
    </row>
    <row r="54" spans="1:17" x14ac:dyDescent="0.2">
      <c r="A54" s="15">
        <f t="shared" si="0"/>
        <v>52</v>
      </c>
      <c r="B54" s="3" t="s">
        <v>63</v>
      </c>
      <c r="C54" s="3" t="str">
        <f>VLOOKUP(B54,Listas!A$3:C$30,3,0)</f>
        <v>Secretaria Municipal de Educação</v>
      </c>
      <c r="D54" s="3" t="str">
        <f>VLOOKUP(B54,Listas!A$3:C$30,2,0)</f>
        <v>18101</v>
      </c>
      <c r="E54" s="13" t="s">
        <v>175</v>
      </c>
      <c r="F54" s="3" t="s">
        <v>425</v>
      </c>
      <c r="G54" s="3" t="s">
        <v>425</v>
      </c>
      <c r="H54" s="5" t="s">
        <v>425</v>
      </c>
      <c r="I54" s="5"/>
      <c r="J54" s="3" t="s">
        <v>425</v>
      </c>
      <c r="K54" s="12" t="s">
        <v>425</v>
      </c>
      <c r="L54" s="3" t="s">
        <v>425</v>
      </c>
      <c r="M54" s="3" t="s">
        <v>425</v>
      </c>
      <c r="N54" s="3" t="s">
        <v>425</v>
      </c>
      <c r="O54" s="3" t="s">
        <v>425</v>
      </c>
      <c r="P54" s="3" t="s">
        <v>425</v>
      </c>
      <c r="Q54" s="3" t="s">
        <v>425</v>
      </c>
    </row>
    <row r="55" spans="1:17" x14ac:dyDescent="0.2">
      <c r="A55" s="15">
        <f t="shared" si="0"/>
        <v>53</v>
      </c>
      <c r="B55" s="3" t="s">
        <v>63</v>
      </c>
      <c r="C55" s="3" t="str">
        <f>VLOOKUP(B55,Listas!A$3:C$30,3,0)</f>
        <v>Secretaria Municipal de Educação</v>
      </c>
      <c r="D55" s="3" t="str">
        <f>VLOOKUP(B55,Listas!A$3:C$30,2,0)</f>
        <v>18101</v>
      </c>
      <c r="E55" s="13" t="s">
        <v>176</v>
      </c>
      <c r="F55" s="3" t="s">
        <v>425</v>
      </c>
      <c r="G55" s="3" t="s">
        <v>425</v>
      </c>
      <c r="H55" s="5" t="s">
        <v>425</v>
      </c>
      <c r="I55" s="5"/>
      <c r="J55" s="3" t="s">
        <v>425</v>
      </c>
      <c r="K55" s="12" t="s">
        <v>425</v>
      </c>
      <c r="L55" s="3" t="s">
        <v>425</v>
      </c>
      <c r="M55" s="3" t="s">
        <v>425</v>
      </c>
      <c r="N55" s="3" t="s">
        <v>425</v>
      </c>
      <c r="O55" s="3" t="s">
        <v>425</v>
      </c>
      <c r="P55" s="3" t="s">
        <v>425</v>
      </c>
      <c r="Q55" s="3" t="s">
        <v>425</v>
      </c>
    </row>
    <row r="56" spans="1:17" x14ac:dyDescent="0.2">
      <c r="A56" s="15">
        <f t="shared" si="0"/>
        <v>54</v>
      </c>
      <c r="B56" s="3" t="s">
        <v>63</v>
      </c>
      <c r="C56" s="3" t="str">
        <f>VLOOKUP(B56,Listas!A$3:C$30,3,0)</f>
        <v>Secretaria Municipal de Educação</v>
      </c>
      <c r="D56" s="3" t="str">
        <f>VLOOKUP(B56,Listas!A$3:C$30,2,0)</f>
        <v>18101</v>
      </c>
      <c r="E56" s="13" t="s">
        <v>177</v>
      </c>
      <c r="F56" s="3" t="s">
        <v>425</v>
      </c>
      <c r="G56" s="3" t="s">
        <v>425</v>
      </c>
      <c r="H56" s="5" t="s">
        <v>425</v>
      </c>
      <c r="I56" s="5"/>
      <c r="J56" s="3" t="s">
        <v>425</v>
      </c>
      <c r="K56" s="12" t="s">
        <v>425</v>
      </c>
      <c r="L56" s="3" t="s">
        <v>425</v>
      </c>
      <c r="M56" s="3" t="s">
        <v>425</v>
      </c>
      <c r="N56" s="3" t="s">
        <v>425</v>
      </c>
      <c r="O56" s="3" t="s">
        <v>425</v>
      </c>
      <c r="P56" s="3" t="s">
        <v>425</v>
      </c>
      <c r="Q56" s="3" t="s">
        <v>425</v>
      </c>
    </row>
    <row r="57" spans="1:17" x14ac:dyDescent="0.2">
      <c r="A57" s="15">
        <f t="shared" si="0"/>
        <v>55</v>
      </c>
      <c r="B57" s="3" t="s">
        <v>63</v>
      </c>
      <c r="C57" s="3" t="str">
        <f>VLOOKUP(B57,Listas!A$3:C$30,3,0)</f>
        <v>Secretaria Municipal de Educação</v>
      </c>
      <c r="D57" s="3" t="str">
        <f>VLOOKUP(B57,Listas!A$3:C$30,2,0)</f>
        <v>18101</v>
      </c>
      <c r="E57" s="13" t="s">
        <v>178</v>
      </c>
      <c r="F57" s="3" t="s">
        <v>425</v>
      </c>
      <c r="G57" s="3" t="s">
        <v>425</v>
      </c>
      <c r="H57" s="5" t="s">
        <v>425</v>
      </c>
      <c r="I57" s="5"/>
      <c r="J57" s="3" t="s">
        <v>425</v>
      </c>
      <c r="K57" s="12" t="s">
        <v>425</v>
      </c>
      <c r="L57" s="3" t="s">
        <v>425</v>
      </c>
      <c r="M57" s="3" t="s">
        <v>425</v>
      </c>
      <c r="N57" s="3" t="s">
        <v>425</v>
      </c>
      <c r="O57" s="3" t="s">
        <v>425</v>
      </c>
      <c r="P57" s="3" t="s">
        <v>425</v>
      </c>
      <c r="Q57" s="3" t="s">
        <v>425</v>
      </c>
    </row>
    <row r="58" spans="1:17" x14ac:dyDescent="0.2">
      <c r="A58" s="15">
        <f t="shared" si="0"/>
        <v>56</v>
      </c>
      <c r="B58" s="3" t="s">
        <v>63</v>
      </c>
      <c r="C58" s="3" t="str">
        <f>VLOOKUP(B58,Listas!A$3:C$30,3,0)</f>
        <v>Secretaria Municipal de Educação</v>
      </c>
      <c r="D58" s="3" t="str">
        <f>VLOOKUP(B58,Listas!A$3:C$30,2,0)</f>
        <v>18101</v>
      </c>
      <c r="E58" s="13" t="s">
        <v>179</v>
      </c>
      <c r="F58" s="3" t="s">
        <v>425</v>
      </c>
      <c r="G58" s="3" t="s">
        <v>425</v>
      </c>
      <c r="H58" s="5" t="s">
        <v>425</v>
      </c>
      <c r="I58" s="5"/>
      <c r="J58" s="3" t="s">
        <v>425</v>
      </c>
      <c r="K58" s="12" t="s">
        <v>425</v>
      </c>
      <c r="L58" s="3" t="s">
        <v>425</v>
      </c>
      <c r="M58" s="3" t="s">
        <v>425</v>
      </c>
      <c r="N58" s="3" t="s">
        <v>425</v>
      </c>
      <c r="O58" s="3" t="s">
        <v>425</v>
      </c>
      <c r="P58" s="3" t="s">
        <v>425</v>
      </c>
      <c r="Q58" s="3" t="s">
        <v>425</v>
      </c>
    </row>
    <row r="59" spans="1:17" x14ac:dyDescent="0.2">
      <c r="A59" s="15">
        <f t="shared" si="0"/>
        <v>57</v>
      </c>
      <c r="B59" s="3" t="s">
        <v>63</v>
      </c>
      <c r="C59" s="3" t="str">
        <f>VLOOKUP(B59,Listas!A$3:C$30,3,0)</f>
        <v>Secretaria Municipal de Educação</v>
      </c>
      <c r="D59" s="3" t="str">
        <f>VLOOKUP(B59,Listas!A$3:C$30,2,0)</f>
        <v>18101</v>
      </c>
      <c r="E59" s="13" t="s">
        <v>180</v>
      </c>
      <c r="F59" s="3" t="s">
        <v>425</v>
      </c>
      <c r="G59" s="3" t="s">
        <v>425</v>
      </c>
      <c r="H59" s="5" t="s">
        <v>425</v>
      </c>
      <c r="I59" s="5"/>
      <c r="J59" s="3" t="s">
        <v>425</v>
      </c>
      <c r="K59" s="12" t="s">
        <v>425</v>
      </c>
      <c r="L59" s="3" t="s">
        <v>425</v>
      </c>
      <c r="M59" s="3" t="s">
        <v>425</v>
      </c>
      <c r="N59" s="3" t="s">
        <v>425</v>
      </c>
      <c r="O59" s="3" t="s">
        <v>425</v>
      </c>
      <c r="P59" s="3" t="s">
        <v>425</v>
      </c>
      <c r="Q59" s="3" t="s">
        <v>425</v>
      </c>
    </row>
    <row r="60" spans="1:17" x14ac:dyDescent="0.2">
      <c r="A60" s="15">
        <f t="shared" si="0"/>
        <v>58</v>
      </c>
      <c r="B60" s="3" t="s">
        <v>63</v>
      </c>
      <c r="C60" s="3" t="str">
        <f>VLOOKUP(B60,Listas!A$3:C$30,3,0)</f>
        <v>Secretaria Municipal de Educação</v>
      </c>
      <c r="D60" s="3" t="str">
        <f>VLOOKUP(B60,Listas!A$3:C$30,2,0)</f>
        <v>18101</v>
      </c>
      <c r="E60" s="13" t="s">
        <v>181</v>
      </c>
      <c r="F60" s="3" t="s">
        <v>425</v>
      </c>
      <c r="G60" s="3" t="s">
        <v>425</v>
      </c>
      <c r="H60" s="5" t="s">
        <v>425</v>
      </c>
      <c r="I60" s="5"/>
      <c r="J60" s="3" t="s">
        <v>425</v>
      </c>
      <c r="K60" s="12" t="s">
        <v>425</v>
      </c>
      <c r="L60" s="3" t="s">
        <v>425</v>
      </c>
      <c r="M60" s="3" t="s">
        <v>425</v>
      </c>
      <c r="N60" s="3" t="s">
        <v>425</v>
      </c>
      <c r="O60" s="3" t="s">
        <v>425</v>
      </c>
      <c r="P60" s="3" t="s">
        <v>425</v>
      </c>
      <c r="Q60" s="3" t="s">
        <v>425</v>
      </c>
    </row>
    <row r="61" spans="1:17" x14ac:dyDescent="0.2">
      <c r="A61" s="15">
        <f t="shared" si="0"/>
        <v>59</v>
      </c>
      <c r="B61" s="3" t="s">
        <v>63</v>
      </c>
      <c r="C61" s="3" t="str">
        <f>VLOOKUP(B61,Listas!A$3:C$30,3,0)</f>
        <v>Secretaria Municipal de Educação</v>
      </c>
      <c r="D61" s="3" t="str">
        <f>VLOOKUP(B61,Listas!A$3:C$30,2,0)</f>
        <v>18101</v>
      </c>
      <c r="E61" s="13" t="s">
        <v>182</v>
      </c>
      <c r="F61" s="3" t="s">
        <v>425</v>
      </c>
      <c r="G61" s="3" t="s">
        <v>425</v>
      </c>
      <c r="H61" s="5" t="s">
        <v>425</v>
      </c>
      <c r="I61" s="5"/>
      <c r="J61" s="3" t="s">
        <v>425</v>
      </c>
      <c r="K61" s="12" t="s">
        <v>425</v>
      </c>
      <c r="L61" s="3" t="s">
        <v>425</v>
      </c>
      <c r="M61" s="3" t="s">
        <v>425</v>
      </c>
      <c r="N61" s="3" t="s">
        <v>425</v>
      </c>
      <c r="O61" s="3" t="s">
        <v>425</v>
      </c>
      <c r="P61" s="3" t="s">
        <v>425</v>
      </c>
      <c r="Q61" s="3" t="s">
        <v>425</v>
      </c>
    </row>
    <row r="62" spans="1:17" x14ac:dyDescent="0.2">
      <c r="A62" s="15">
        <f t="shared" si="0"/>
        <v>60</v>
      </c>
      <c r="B62" s="3" t="s">
        <v>63</v>
      </c>
      <c r="C62" s="3" t="str">
        <f>VLOOKUP(B62,Listas!A$3:C$30,3,0)</f>
        <v>Secretaria Municipal de Educação</v>
      </c>
      <c r="D62" s="3" t="str">
        <f>VLOOKUP(B62,Listas!A$3:C$30,2,0)</f>
        <v>18101</v>
      </c>
      <c r="E62" s="13" t="s">
        <v>183</v>
      </c>
      <c r="F62" s="3" t="s">
        <v>425</v>
      </c>
      <c r="G62" s="3" t="s">
        <v>425</v>
      </c>
      <c r="H62" s="5" t="s">
        <v>425</v>
      </c>
      <c r="I62" s="5"/>
      <c r="J62" s="3" t="s">
        <v>425</v>
      </c>
      <c r="K62" s="12" t="s">
        <v>425</v>
      </c>
      <c r="L62" s="3" t="s">
        <v>425</v>
      </c>
      <c r="M62" s="3" t="s">
        <v>425</v>
      </c>
      <c r="N62" s="3" t="s">
        <v>425</v>
      </c>
      <c r="O62" s="3" t="s">
        <v>425</v>
      </c>
      <c r="P62" s="3" t="s">
        <v>425</v>
      </c>
      <c r="Q62" s="3" t="s">
        <v>425</v>
      </c>
    </row>
    <row r="63" spans="1:17" x14ac:dyDescent="0.2">
      <c r="A63" s="15">
        <f t="shared" si="0"/>
        <v>61</v>
      </c>
      <c r="B63" s="3" t="s">
        <v>63</v>
      </c>
      <c r="C63" s="3" t="str">
        <f>VLOOKUP(B63,Listas!A$3:C$30,3,0)</f>
        <v>Secretaria Municipal de Educação</v>
      </c>
      <c r="D63" s="3" t="str">
        <f>VLOOKUP(B63,Listas!A$3:C$30,2,0)</f>
        <v>18101</v>
      </c>
      <c r="E63" s="13" t="s">
        <v>184</v>
      </c>
      <c r="F63" s="3" t="s">
        <v>425</v>
      </c>
      <c r="G63" s="3" t="s">
        <v>425</v>
      </c>
      <c r="H63" s="5" t="s">
        <v>425</v>
      </c>
      <c r="I63" s="5"/>
      <c r="J63" s="3" t="s">
        <v>425</v>
      </c>
      <c r="K63" s="12" t="s">
        <v>425</v>
      </c>
      <c r="L63" s="3" t="s">
        <v>425</v>
      </c>
      <c r="M63" s="3" t="s">
        <v>425</v>
      </c>
      <c r="N63" s="3" t="s">
        <v>425</v>
      </c>
      <c r="O63" s="3" t="s">
        <v>425</v>
      </c>
      <c r="P63" s="3" t="s">
        <v>425</v>
      </c>
      <c r="Q63" s="3" t="s">
        <v>425</v>
      </c>
    </row>
    <row r="64" spans="1:17" x14ac:dyDescent="0.2">
      <c r="A64" s="15">
        <f t="shared" si="0"/>
        <v>62</v>
      </c>
      <c r="B64" s="3" t="s">
        <v>63</v>
      </c>
      <c r="C64" s="3" t="str">
        <f>VLOOKUP(B64,Listas!A$3:C$30,3,0)</f>
        <v>Secretaria Municipal de Educação</v>
      </c>
      <c r="D64" s="3" t="str">
        <f>VLOOKUP(B64,Listas!A$3:C$30,2,0)</f>
        <v>18101</v>
      </c>
      <c r="E64" s="13" t="s">
        <v>185</v>
      </c>
      <c r="F64" s="3" t="s">
        <v>425</v>
      </c>
      <c r="G64" s="3" t="s">
        <v>425</v>
      </c>
      <c r="H64" s="5" t="s">
        <v>425</v>
      </c>
      <c r="I64" s="5"/>
      <c r="J64" s="3" t="s">
        <v>425</v>
      </c>
      <c r="K64" s="12" t="s">
        <v>425</v>
      </c>
      <c r="L64" s="3" t="s">
        <v>425</v>
      </c>
      <c r="M64" s="3" t="s">
        <v>425</v>
      </c>
      <c r="N64" s="3" t="s">
        <v>425</v>
      </c>
      <c r="O64" s="3" t="s">
        <v>425</v>
      </c>
      <c r="P64" s="3" t="s">
        <v>425</v>
      </c>
      <c r="Q64" s="3" t="s">
        <v>425</v>
      </c>
    </row>
    <row r="65" spans="1:17" x14ac:dyDescent="0.2">
      <c r="A65" s="15">
        <f t="shared" si="0"/>
        <v>63</v>
      </c>
      <c r="B65" s="3" t="s">
        <v>63</v>
      </c>
      <c r="C65" s="3" t="str">
        <f>VLOOKUP(B65,Listas!A$3:C$30,3,0)</f>
        <v>Secretaria Municipal de Educação</v>
      </c>
      <c r="D65" s="3" t="str">
        <f>VLOOKUP(B65,Listas!A$3:C$30,2,0)</f>
        <v>18101</v>
      </c>
      <c r="E65" s="13" t="s">
        <v>186</v>
      </c>
      <c r="F65" s="3" t="s">
        <v>425</v>
      </c>
      <c r="G65" s="3" t="s">
        <v>425</v>
      </c>
      <c r="H65" s="5" t="s">
        <v>425</v>
      </c>
      <c r="I65" s="5"/>
      <c r="J65" s="3" t="s">
        <v>425</v>
      </c>
      <c r="K65" s="12" t="s">
        <v>425</v>
      </c>
      <c r="L65" s="3" t="s">
        <v>425</v>
      </c>
      <c r="M65" s="3" t="s">
        <v>425</v>
      </c>
      <c r="N65" s="3" t="s">
        <v>425</v>
      </c>
      <c r="O65" s="3" t="s">
        <v>425</v>
      </c>
      <c r="P65" s="3" t="s">
        <v>425</v>
      </c>
      <c r="Q65" s="3" t="s">
        <v>425</v>
      </c>
    </row>
    <row r="66" spans="1:17" x14ac:dyDescent="0.2">
      <c r="A66" s="15">
        <f t="shared" si="0"/>
        <v>64</v>
      </c>
      <c r="B66" s="3" t="s">
        <v>63</v>
      </c>
      <c r="C66" s="3" t="str">
        <f>VLOOKUP(B66,Listas!A$3:C$30,3,0)</f>
        <v>Secretaria Municipal de Educação</v>
      </c>
      <c r="D66" s="3" t="str">
        <f>VLOOKUP(B66,Listas!A$3:C$30,2,0)</f>
        <v>18101</v>
      </c>
      <c r="E66" s="13" t="s">
        <v>187</v>
      </c>
      <c r="F66" s="3" t="s">
        <v>425</v>
      </c>
      <c r="G66" s="3" t="s">
        <v>425</v>
      </c>
      <c r="H66" s="5" t="s">
        <v>425</v>
      </c>
      <c r="I66" s="5"/>
      <c r="J66" s="3" t="s">
        <v>425</v>
      </c>
      <c r="K66" s="12" t="s">
        <v>425</v>
      </c>
      <c r="L66" s="3" t="s">
        <v>425</v>
      </c>
      <c r="M66" s="3" t="s">
        <v>425</v>
      </c>
      <c r="N66" s="3" t="s">
        <v>425</v>
      </c>
      <c r="O66" s="3" t="s">
        <v>425</v>
      </c>
      <c r="P66" s="3" t="s">
        <v>425</v>
      </c>
      <c r="Q66" s="3" t="s">
        <v>425</v>
      </c>
    </row>
    <row r="67" spans="1:17" x14ac:dyDescent="0.2">
      <c r="A67" s="15">
        <f t="shared" si="0"/>
        <v>65</v>
      </c>
      <c r="B67" s="3" t="s">
        <v>63</v>
      </c>
      <c r="C67" s="3" t="str">
        <f>VLOOKUP(B67,Listas!A$3:C$30,3,0)</f>
        <v>Secretaria Municipal de Educação</v>
      </c>
      <c r="D67" s="3" t="str">
        <f>VLOOKUP(B67,Listas!A$3:C$30,2,0)</f>
        <v>18101</v>
      </c>
      <c r="E67" s="13" t="s">
        <v>188</v>
      </c>
      <c r="F67" s="3" t="s">
        <v>425</v>
      </c>
      <c r="G67" s="3" t="s">
        <v>425</v>
      </c>
      <c r="H67" s="5" t="s">
        <v>425</v>
      </c>
      <c r="I67" s="5"/>
      <c r="J67" s="3" t="s">
        <v>425</v>
      </c>
      <c r="K67" s="12" t="s">
        <v>425</v>
      </c>
      <c r="L67" s="3" t="s">
        <v>425</v>
      </c>
      <c r="M67" s="3" t="s">
        <v>425</v>
      </c>
      <c r="N67" s="3" t="s">
        <v>425</v>
      </c>
      <c r="O67" s="3" t="s">
        <v>425</v>
      </c>
      <c r="P67" s="3" t="s">
        <v>425</v>
      </c>
      <c r="Q67" s="3" t="s">
        <v>425</v>
      </c>
    </row>
    <row r="68" spans="1:17" x14ac:dyDescent="0.2">
      <c r="A68" s="15">
        <f t="shared" si="0"/>
        <v>66</v>
      </c>
      <c r="B68" s="3" t="s">
        <v>63</v>
      </c>
      <c r="C68" s="3" t="str">
        <f>VLOOKUP(B68,Listas!A$3:C$30,3,0)</f>
        <v>Secretaria Municipal de Educação</v>
      </c>
      <c r="D68" s="3" t="str">
        <f>VLOOKUP(B68,Listas!A$3:C$30,2,0)</f>
        <v>18101</v>
      </c>
      <c r="E68" s="13" t="s">
        <v>189</v>
      </c>
      <c r="F68" s="3" t="s">
        <v>425</v>
      </c>
      <c r="G68" s="3" t="s">
        <v>425</v>
      </c>
      <c r="H68" s="5" t="s">
        <v>425</v>
      </c>
      <c r="I68" s="5"/>
      <c r="J68" s="3" t="s">
        <v>425</v>
      </c>
      <c r="K68" s="12" t="s">
        <v>425</v>
      </c>
      <c r="L68" s="3" t="s">
        <v>425</v>
      </c>
      <c r="M68" s="3" t="s">
        <v>425</v>
      </c>
      <c r="N68" s="3" t="s">
        <v>425</v>
      </c>
      <c r="O68" s="3" t="s">
        <v>425</v>
      </c>
      <c r="P68" s="3" t="s">
        <v>425</v>
      </c>
      <c r="Q68" s="3" t="s">
        <v>425</v>
      </c>
    </row>
    <row r="69" spans="1:17" x14ac:dyDescent="0.2">
      <c r="A69" s="15">
        <f t="shared" ref="A69:A132" si="1">A68+1</f>
        <v>67</v>
      </c>
      <c r="B69" s="3" t="s">
        <v>63</v>
      </c>
      <c r="C69" s="3" t="str">
        <f>VLOOKUP(B69,Listas!A$3:C$30,3,0)</f>
        <v>Secretaria Municipal de Educação</v>
      </c>
      <c r="D69" s="3" t="str">
        <f>VLOOKUP(B69,Listas!A$3:C$30,2,0)</f>
        <v>18101</v>
      </c>
      <c r="E69" s="13" t="s">
        <v>190</v>
      </c>
      <c r="F69" s="3" t="s">
        <v>425</v>
      </c>
      <c r="G69" s="3" t="s">
        <v>425</v>
      </c>
      <c r="H69" s="5" t="s">
        <v>425</v>
      </c>
      <c r="I69" s="5"/>
      <c r="J69" s="3" t="s">
        <v>425</v>
      </c>
      <c r="K69" s="12" t="s">
        <v>425</v>
      </c>
      <c r="L69" s="3" t="s">
        <v>425</v>
      </c>
      <c r="M69" s="3" t="s">
        <v>425</v>
      </c>
      <c r="N69" s="3" t="s">
        <v>425</v>
      </c>
      <c r="O69" s="3" t="s">
        <v>425</v>
      </c>
      <c r="P69" s="3" t="s">
        <v>425</v>
      </c>
      <c r="Q69" s="3" t="s">
        <v>425</v>
      </c>
    </row>
    <row r="70" spans="1:17" x14ac:dyDescent="0.2">
      <c r="A70" s="15">
        <f t="shared" si="1"/>
        <v>68</v>
      </c>
      <c r="B70" s="3" t="s">
        <v>63</v>
      </c>
      <c r="C70" s="3" t="str">
        <f>VLOOKUP(B70,Listas!A$3:C$30,3,0)</f>
        <v>Secretaria Municipal de Educação</v>
      </c>
      <c r="D70" s="3" t="str">
        <f>VLOOKUP(B70,Listas!A$3:C$30,2,0)</f>
        <v>18101</v>
      </c>
      <c r="E70" s="13" t="s">
        <v>191</v>
      </c>
      <c r="F70" s="3" t="s">
        <v>425</v>
      </c>
      <c r="G70" s="3" t="s">
        <v>425</v>
      </c>
      <c r="H70" s="5" t="s">
        <v>425</v>
      </c>
      <c r="I70" s="5"/>
      <c r="J70" s="3" t="s">
        <v>425</v>
      </c>
      <c r="K70" s="12" t="s">
        <v>425</v>
      </c>
      <c r="L70" s="3" t="s">
        <v>425</v>
      </c>
      <c r="M70" s="3" t="s">
        <v>425</v>
      </c>
      <c r="N70" s="3" t="s">
        <v>425</v>
      </c>
      <c r="O70" s="3" t="s">
        <v>425</v>
      </c>
      <c r="P70" s="3" t="s">
        <v>425</v>
      </c>
      <c r="Q70" s="3" t="s">
        <v>425</v>
      </c>
    </row>
    <row r="71" spans="1:17" x14ac:dyDescent="0.2">
      <c r="A71" s="15">
        <f t="shared" si="1"/>
        <v>69</v>
      </c>
      <c r="B71" s="3" t="s">
        <v>63</v>
      </c>
      <c r="C71" s="3" t="str">
        <f>VLOOKUP(B71,Listas!A$3:C$30,3,0)</f>
        <v>Secretaria Municipal de Educação</v>
      </c>
      <c r="D71" s="3" t="str">
        <f>VLOOKUP(B71,Listas!A$3:C$30,2,0)</f>
        <v>18101</v>
      </c>
      <c r="E71" s="13" t="s">
        <v>192</v>
      </c>
      <c r="F71" s="3" t="s">
        <v>425</v>
      </c>
      <c r="G71" s="3" t="s">
        <v>425</v>
      </c>
      <c r="H71" s="5" t="s">
        <v>425</v>
      </c>
      <c r="I71" s="5"/>
      <c r="J71" s="3" t="s">
        <v>425</v>
      </c>
      <c r="K71" s="12" t="s">
        <v>425</v>
      </c>
      <c r="L71" s="3" t="s">
        <v>425</v>
      </c>
      <c r="M71" s="3" t="s">
        <v>425</v>
      </c>
      <c r="N71" s="3" t="s">
        <v>425</v>
      </c>
      <c r="O71" s="3" t="s">
        <v>425</v>
      </c>
      <c r="P71" s="3" t="s">
        <v>425</v>
      </c>
      <c r="Q71" s="3" t="s">
        <v>425</v>
      </c>
    </row>
    <row r="72" spans="1:17" x14ac:dyDescent="0.2">
      <c r="A72" s="15">
        <f t="shared" si="1"/>
        <v>70</v>
      </c>
      <c r="B72" s="3" t="s">
        <v>63</v>
      </c>
      <c r="C72" s="3" t="str">
        <f>VLOOKUP(B72,Listas!A$3:C$30,3,0)</f>
        <v>Secretaria Municipal de Educação</v>
      </c>
      <c r="D72" s="3" t="str">
        <f>VLOOKUP(B72,Listas!A$3:C$30,2,0)</f>
        <v>18101</v>
      </c>
      <c r="E72" s="13" t="s">
        <v>121</v>
      </c>
      <c r="F72" s="3" t="s">
        <v>425</v>
      </c>
      <c r="G72" s="3" t="s">
        <v>425</v>
      </c>
      <c r="H72" s="5" t="s">
        <v>425</v>
      </c>
      <c r="I72" s="5"/>
      <c r="J72" s="3" t="s">
        <v>425</v>
      </c>
      <c r="K72" s="12" t="s">
        <v>425</v>
      </c>
      <c r="L72" s="3" t="s">
        <v>425</v>
      </c>
      <c r="M72" s="3" t="s">
        <v>425</v>
      </c>
      <c r="N72" s="3" t="s">
        <v>425</v>
      </c>
      <c r="O72" s="3" t="s">
        <v>425</v>
      </c>
      <c r="P72" s="3" t="s">
        <v>425</v>
      </c>
      <c r="Q72" s="3" t="s">
        <v>425</v>
      </c>
    </row>
    <row r="73" spans="1:17" x14ac:dyDescent="0.2">
      <c r="A73" s="15">
        <f t="shared" si="1"/>
        <v>71</v>
      </c>
      <c r="B73" s="3" t="s">
        <v>63</v>
      </c>
      <c r="C73" s="3" t="str">
        <f>VLOOKUP(B73,Listas!A$3:C$30,3,0)</f>
        <v>Secretaria Municipal de Educação</v>
      </c>
      <c r="D73" s="3" t="str">
        <f>VLOOKUP(B73,Listas!A$3:C$30,2,0)</f>
        <v>18101</v>
      </c>
      <c r="E73" s="13" t="s">
        <v>193</v>
      </c>
      <c r="F73" s="3" t="s">
        <v>425</v>
      </c>
      <c r="G73" s="3" t="s">
        <v>425</v>
      </c>
      <c r="H73" s="5" t="s">
        <v>425</v>
      </c>
      <c r="I73" s="5"/>
      <c r="J73" s="3" t="s">
        <v>425</v>
      </c>
      <c r="K73" s="12" t="s">
        <v>425</v>
      </c>
      <c r="L73" s="3" t="s">
        <v>425</v>
      </c>
      <c r="M73" s="3" t="s">
        <v>425</v>
      </c>
      <c r="N73" s="3" t="s">
        <v>425</v>
      </c>
      <c r="O73" s="3" t="s">
        <v>425</v>
      </c>
      <c r="P73" s="3" t="s">
        <v>425</v>
      </c>
      <c r="Q73" s="3" t="s">
        <v>425</v>
      </c>
    </row>
    <row r="74" spans="1:17" x14ac:dyDescent="0.2">
      <c r="A74" s="15">
        <f t="shared" si="1"/>
        <v>72</v>
      </c>
      <c r="B74" s="3" t="s">
        <v>63</v>
      </c>
      <c r="C74" s="3" t="str">
        <f>VLOOKUP(B74,Listas!A$3:C$30,3,0)</f>
        <v>Secretaria Municipal de Educação</v>
      </c>
      <c r="D74" s="3" t="str">
        <f>VLOOKUP(B74,Listas!A$3:C$30,2,0)</f>
        <v>18101</v>
      </c>
      <c r="E74" s="13" t="s">
        <v>194</v>
      </c>
      <c r="F74" s="3" t="s">
        <v>425</v>
      </c>
      <c r="G74" s="3" t="s">
        <v>425</v>
      </c>
      <c r="H74" s="5" t="s">
        <v>425</v>
      </c>
      <c r="I74" s="5"/>
      <c r="J74" s="3" t="s">
        <v>425</v>
      </c>
      <c r="K74" s="12" t="s">
        <v>425</v>
      </c>
      <c r="L74" s="3" t="s">
        <v>425</v>
      </c>
      <c r="M74" s="3" t="s">
        <v>425</v>
      </c>
      <c r="N74" s="3" t="s">
        <v>425</v>
      </c>
      <c r="O74" s="3" t="s">
        <v>425</v>
      </c>
      <c r="P74" s="3" t="s">
        <v>425</v>
      </c>
      <c r="Q74" s="3" t="s">
        <v>425</v>
      </c>
    </row>
    <row r="75" spans="1:17" x14ac:dyDescent="0.2">
      <c r="A75" s="15">
        <f t="shared" si="1"/>
        <v>73</v>
      </c>
      <c r="B75" s="3" t="s">
        <v>63</v>
      </c>
      <c r="C75" s="3" t="str">
        <f>VLOOKUP(B75,Listas!A$3:C$30,3,0)</f>
        <v>Secretaria Municipal de Educação</v>
      </c>
      <c r="D75" s="3" t="str">
        <f>VLOOKUP(B75,Listas!A$3:C$30,2,0)</f>
        <v>18101</v>
      </c>
      <c r="E75" s="13" t="s">
        <v>195</v>
      </c>
      <c r="F75" s="3" t="s">
        <v>425</v>
      </c>
      <c r="G75" s="3" t="s">
        <v>425</v>
      </c>
      <c r="H75" s="5" t="s">
        <v>425</v>
      </c>
      <c r="I75" s="5"/>
      <c r="J75" s="3" t="s">
        <v>425</v>
      </c>
      <c r="K75" s="12" t="s">
        <v>425</v>
      </c>
      <c r="L75" s="3" t="s">
        <v>425</v>
      </c>
      <c r="M75" s="3" t="s">
        <v>425</v>
      </c>
      <c r="N75" s="3" t="s">
        <v>425</v>
      </c>
      <c r="O75" s="3" t="s">
        <v>425</v>
      </c>
      <c r="P75" s="3" t="s">
        <v>425</v>
      </c>
      <c r="Q75" s="3" t="s">
        <v>425</v>
      </c>
    </row>
    <row r="76" spans="1:17" x14ac:dyDescent="0.2">
      <c r="A76" s="15">
        <f t="shared" si="1"/>
        <v>74</v>
      </c>
      <c r="B76" s="3" t="s">
        <v>63</v>
      </c>
      <c r="C76" s="3" t="str">
        <f>VLOOKUP(B76,Listas!A$3:C$30,3,0)</f>
        <v>Secretaria Municipal de Educação</v>
      </c>
      <c r="D76" s="3" t="str">
        <f>VLOOKUP(B76,Listas!A$3:C$30,2,0)</f>
        <v>18101</v>
      </c>
      <c r="E76" s="13" t="s">
        <v>196</v>
      </c>
      <c r="F76" s="3" t="s">
        <v>425</v>
      </c>
      <c r="G76" s="3" t="s">
        <v>425</v>
      </c>
      <c r="H76" s="5" t="s">
        <v>425</v>
      </c>
      <c r="I76" s="5"/>
      <c r="J76" s="3" t="s">
        <v>425</v>
      </c>
      <c r="K76" s="12" t="s">
        <v>425</v>
      </c>
      <c r="L76" s="3" t="s">
        <v>425</v>
      </c>
      <c r="M76" s="3" t="s">
        <v>425</v>
      </c>
      <c r="N76" s="3" t="s">
        <v>425</v>
      </c>
      <c r="O76" s="3" t="s">
        <v>425</v>
      </c>
      <c r="P76" s="3" t="s">
        <v>425</v>
      </c>
      <c r="Q76" s="3" t="s">
        <v>425</v>
      </c>
    </row>
    <row r="77" spans="1:17" x14ac:dyDescent="0.2">
      <c r="A77" s="15">
        <f t="shared" si="1"/>
        <v>75</v>
      </c>
      <c r="B77" s="3" t="s">
        <v>63</v>
      </c>
      <c r="C77" s="3" t="str">
        <f>VLOOKUP(B77,Listas!A$3:C$30,3,0)</f>
        <v>Secretaria Municipal de Educação</v>
      </c>
      <c r="D77" s="3" t="str">
        <f>VLOOKUP(B77,Listas!A$3:C$30,2,0)</f>
        <v>18101</v>
      </c>
      <c r="E77" s="13" t="s">
        <v>197</v>
      </c>
      <c r="F77" s="3" t="s">
        <v>425</v>
      </c>
      <c r="G77" s="3" t="s">
        <v>425</v>
      </c>
      <c r="H77" s="5" t="s">
        <v>425</v>
      </c>
      <c r="I77" s="5"/>
      <c r="J77" s="3" t="s">
        <v>425</v>
      </c>
      <c r="K77" s="12" t="s">
        <v>425</v>
      </c>
      <c r="L77" s="3" t="s">
        <v>425</v>
      </c>
      <c r="M77" s="3" t="s">
        <v>425</v>
      </c>
      <c r="N77" s="3" t="s">
        <v>425</v>
      </c>
      <c r="O77" s="3" t="s">
        <v>425</v>
      </c>
      <c r="P77" s="3" t="s">
        <v>425</v>
      </c>
      <c r="Q77" s="3" t="s">
        <v>425</v>
      </c>
    </row>
    <row r="78" spans="1:17" x14ac:dyDescent="0.2">
      <c r="A78" s="15">
        <f t="shared" si="1"/>
        <v>76</v>
      </c>
      <c r="B78" s="3" t="s">
        <v>63</v>
      </c>
      <c r="C78" s="3" t="str">
        <f>VLOOKUP(B78,Listas!A$3:C$30,3,0)</f>
        <v>Secretaria Municipal de Educação</v>
      </c>
      <c r="D78" s="3" t="str">
        <f>VLOOKUP(B78,Listas!A$3:C$30,2,0)</f>
        <v>18101</v>
      </c>
      <c r="E78" s="13" t="s">
        <v>198</v>
      </c>
      <c r="F78" s="3" t="s">
        <v>425</v>
      </c>
      <c r="G78" s="3" t="s">
        <v>425</v>
      </c>
      <c r="H78" s="5" t="s">
        <v>425</v>
      </c>
      <c r="I78" s="5"/>
      <c r="J78" s="3" t="s">
        <v>425</v>
      </c>
      <c r="K78" s="12" t="s">
        <v>425</v>
      </c>
      <c r="L78" s="3" t="s">
        <v>425</v>
      </c>
      <c r="M78" s="3" t="s">
        <v>425</v>
      </c>
      <c r="N78" s="3" t="s">
        <v>425</v>
      </c>
      <c r="O78" s="3" t="s">
        <v>425</v>
      </c>
      <c r="P78" s="3" t="s">
        <v>425</v>
      </c>
      <c r="Q78" s="3" t="s">
        <v>425</v>
      </c>
    </row>
    <row r="79" spans="1:17" x14ac:dyDescent="0.2">
      <c r="A79" s="15">
        <f t="shared" si="1"/>
        <v>77</v>
      </c>
      <c r="B79" s="3" t="s">
        <v>63</v>
      </c>
      <c r="C79" s="3" t="str">
        <f>VLOOKUP(B79,Listas!A$3:C$30,3,0)</f>
        <v>Secretaria Municipal de Educação</v>
      </c>
      <c r="D79" s="3" t="str">
        <f>VLOOKUP(B79,Listas!A$3:C$30,2,0)</f>
        <v>18101</v>
      </c>
      <c r="E79" s="13" t="s">
        <v>199</v>
      </c>
      <c r="F79" s="3" t="s">
        <v>425</v>
      </c>
      <c r="G79" s="3" t="s">
        <v>425</v>
      </c>
      <c r="H79" s="5" t="s">
        <v>425</v>
      </c>
      <c r="I79" s="5"/>
      <c r="J79" s="3" t="s">
        <v>425</v>
      </c>
      <c r="K79" s="12" t="s">
        <v>425</v>
      </c>
      <c r="L79" s="3" t="s">
        <v>425</v>
      </c>
      <c r="M79" s="3" t="s">
        <v>425</v>
      </c>
      <c r="N79" s="3" t="s">
        <v>425</v>
      </c>
      <c r="O79" s="3" t="s">
        <v>425</v>
      </c>
      <c r="P79" s="3" t="s">
        <v>425</v>
      </c>
      <c r="Q79" s="3" t="s">
        <v>425</v>
      </c>
    </row>
    <row r="80" spans="1:17" x14ac:dyDescent="0.2">
      <c r="A80" s="15">
        <f t="shared" si="1"/>
        <v>78</v>
      </c>
      <c r="B80" s="3" t="s">
        <v>63</v>
      </c>
      <c r="C80" s="3" t="str">
        <f>VLOOKUP(B80,Listas!A$3:C$30,3,0)</f>
        <v>Secretaria Municipal de Educação</v>
      </c>
      <c r="D80" s="3" t="str">
        <f>VLOOKUP(B80,Listas!A$3:C$30,2,0)</f>
        <v>18101</v>
      </c>
      <c r="E80" s="13" t="s">
        <v>200</v>
      </c>
      <c r="F80" s="3" t="s">
        <v>425</v>
      </c>
      <c r="G80" s="3" t="s">
        <v>425</v>
      </c>
      <c r="H80" s="5" t="s">
        <v>425</v>
      </c>
      <c r="I80" s="5"/>
      <c r="J80" s="3" t="s">
        <v>425</v>
      </c>
      <c r="K80" s="12" t="s">
        <v>425</v>
      </c>
      <c r="L80" s="3" t="s">
        <v>425</v>
      </c>
      <c r="M80" s="3" t="s">
        <v>425</v>
      </c>
      <c r="N80" s="3" t="s">
        <v>425</v>
      </c>
      <c r="O80" s="3" t="s">
        <v>425</v>
      </c>
      <c r="P80" s="3" t="s">
        <v>425</v>
      </c>
      <c r="Q80" s="3" t="s">
        <v>425</v>
      </c>
    </row>
    <row r="81" spans="1:17" x14ac:dyDescent="0.2">
      <c r="A81" s="15">
        <f t="shared" si="1"/>
        <v>79</v>
      </c>
      <c r="B81" s="3" t="s">
        <v>63</v>
      </c>
      <c r="C81" s="3" t="str">
        <f>VLOOKUP(B81,Listas!A$3:C$30,3,0)</f>
        <v>Secretaria Municipal de Educação</v>
      </c>
      <c r="D81" s="3" t="str">
        <f>VLOOKUP(B81,Listas!A$3:C$30,2,0)</f>
        <v>18101</v>
      </c>
      <c r="E81" s="13" t="s">
        <v>155</v>
      </c>
      <c r="F81" s="3" t="s">
        <v>425</v>
      </c>
      <c r="G81" s="3" t="s">
        <v>425</v>
      </c>
      <c r="H81" s="5" t="s">
        <v>425</v>
      </c>
      <c r="I81" s="5"/>
      <c r="J81" s="3" t="s">
        <v>425</v>
      </c>
      <c r="K81" s="12" t="s">
        <v>425</v>
      </c>
      <c r="L81" s="3" t="s">
        <v>425</v>
      </c>
      <c r="M81" s="3" t="s">
        <v>425</v>
      </c>
      <c r="N81" s="3" t="s">
        <v>425</v>
      </c>
      <c r="O81" s="3" t="s">
        <v>425</v>
      </c>
      <c r="P81" s="3" t="s">
        <v>425</v>
      </c>
      <c r="Q81" s="3" t="s">
        <v>425</v>
      </c>
    </row>
    <row r="82" spans="1:17" x14ac:dyDescent="0.2">
      <c r="A82" s="15">
        <f t="shared" si="1"/>
        <v>80</v>
      </c>
      <c r="B82" s="3" t="s">
        <v>63</v>
      </c>
      <c r="C82" s="3" t="str">
        <f>VLOOKUP(B82,Listas!A$3:C$30,3,0)</f>
        <v>Secretaria Municipal de Educação</v>
      </c>
      <c r="D82" s="3" t="str">
        <f>VLOOKUP(B82,Listas!A$3:C$30,2,0)</f>
        <v>18101</v>
      </c>
      <c r="E82" s="13" t="s">
        <v>201</v>
      </c>
      <c r="F82" s="3" t="s">
        <v>425</v>
      </c>
      <c r="G82" s="3" t="s">
        <v>425</v>
      </c>
      <c r="H82" s="5" t="s">
        <v>425</v>
      </c>
      <c r="I82" s="5"/>
      <c r="J82" s="3" t="s">
        <v>425</v>
      </c>
      <c r="K82" s="12" t="s">
        <v>425</v>
      </c>
      <c r="L82" s="3" t="s">
        <v>425</v>
      </c>
      <c r="M82" s="3" t="s">
        <v>425</v>
      </c>
      <c r="N82" s="3" t="s">
        <v>425</v>
      </c>
      <c r="O82" s="3" t="s">
        <v>425</v>
      </c>
      <c r="P82" s="3" t="s">
        <v>425</v>
      </c>
      <c r="Q82" s="3" t="s">
        <v>425</v>
      </c>
    </row>
    <row r="83" spans="1:17" x14ac:dyDescent="0.2">
      <c r="A83" s="15">
        <f t="shared" si="1"/>
        <v>81</v>
      </c>
      <c r="B83" s="3" t="s">
        <v>63</v>
      </c>
      <c r="C83" s="3" t="str">
        <f>VLOOKUP(B83,Listas!A$3:C$30,3,0)</f>
        <v>Secretaria Municipal de Educação</v>
      </c>
      <c r="D83" s="3" t="str">
        <f>VLOOKUP(B83,Listas!A$3:C$30,2,0)</f>
        <v>18101</v>
      </c>
      <c r="E83" s="13" t="s">
        <v>202</v>
      </c>
      <c r="F83" s="3" t="s">
        <v>425</v>
      </c>
      <c r="G83" s="3" t="s">
        <v>425</v>
      </c>
      <c r="H83" s="5" t="s">
        <v>425</v>
      </c>
      <c r="I83" s="5"/>
      <c r="J83" s="3" t="s">
        <v>425</v>
      </c>
      <c r="K83" s="12" t="s">
        <v>425</v>
      </c>
      <c r="L83" s="3" t="s">
        <v>425</v>
      </c>
      <c r="M83" s="3" t="s">
        <v>425</v>
      </c>
      <c r="N83" s="3" t="s">
        <v>425</v>
      </c>
      <c r="O83" s="3" t="s">
        <v>425</v>
      </c>
      <c r="P83" s="3" t="s">
        <v>425</v>
      </c>
      <c r="Q83" s="3" t="s">
        <v>425</v>
      </c>
    </row>
    <row r="84" spans="1:17" x14ac:dyDescent="0.2">
      <c r="A84" s="15">
        <f t="shared" si="1"/>
        <v>82</v>
      </c>
      <c r="B84" s="3" t="s">
        <v>63</v>
      </c>
      <c r="C84" s="3" t="str">
        <f>VLOOKUP(B84,Listas!A$3:C$30,3,0)</f>
        <v>Secretaria Municipal de Educação</v>
      </c>
      <c r="D84" s="3" t="str">
        <f>VLOOKUP(B84,Listas!A$3:C$30,2,0)</f>
        <v>18101</v>
      </c>
      <c r="E84" s="13" t="s">
        <v>203</v>
      </c>
      <c r="F84" s="3" t="s">
        <v>425</v>
      </c>
      <c r="G84" s="3" t="s">
        <v>425</v>
      </c>
      <c r="H84" s="5" t="s">
        <v>425</v>
      </c>
      <c r="I84" s="5"/>
      <c r="J84" s="3" t="s">
        <v>425</v>
      </c>
      <c r="K84" s="12" t="s">
        <v>425</v>
      </c>
      <c r="L84" s="3" t="s">
        <v>425</v>
      </c>
      <c r="M84" s="3" t="s">
        <v>425</v>
      </c>
      <c r="N84" s="3" t="s">
        <v>425</v>
      </c>
      <c r="O84" s="3" t="s">
        <v>425</v>
      </c>
      <c r="P84" s="3" t="s">
        <v>425</v>
      </c>
      <c r="Q84" s="3" t="s">
        <v>425</v>
      </c>
    </row>
    <row r="85" spans="1:17" x14ac:dyDescent="0.2">
      <c r="A85" s="15">
        <f t="shared" si="1"/>
        <v>83</v>
      </c>
      <c r="B85" s="3" t="s">
        <v>63</v>
      </c>
      <c r="C85" s="3" t="str">
        <f>VLOOKUP(B85,Listas!A$3:C$30,3,0)</f>
        <v>Secretaria Municipal de Educação</v>
      </c>
      <c r="D85" s="3" t="str">
        <f>VLOOKUP(B85,Listas!A$3:C$30,2,0)</f>
        <v>18101</v>
      </c>
      <c r="E85" s="13" t="s">
        <v>204</v>
      </c>
      <c r="F85" s="3" t="s">
        <v>425</v>
      </c>
      <c r="G85" s="3" t="s">
        <v>425</v>
      </c>
      <c r="H85" s="5" t="s">
        <v>425</v>
      </c>
      <c r="I85" s="5"/>
      <c r="J85" s="3" t="s">
        <v>425</v>
      </c>
      <c r="K85" s="12" t="s">
        <v>425</v>
      </c>
      <c r="L85" s="3" t="s">
        <v>425</v>
      </c>
      <c r="M85" s="3" t="s">
        <v>425</v>
      </c>
      <c r="N85" s="3" t="s">
        <v>425</v>
      </c>
      <c r="O85" s="3" t="s">
        <v>425</v>
      </c>
      <c r="P85" s="3" t="s">
        <v>425</v>
      </c>
      <c r="Q85" s="3" t="s">
        <v>425</v>
      </c>
    </row>
    <row r="86" spans="1:17" x14ac:dyDescent="0.2">
      <c r="A86" s="15">
        <f t="shared" si="1"/>
        <v>84</v>
      </c>
      <c r="B86" s="3" t="s">
        <v>63</v>
      </c>
      <c r="C86" s="3" t="str">
        <f>VLOOKUP(B86,Listas!A$3:C$30,3,0)</f>
        <v>Secretaria Municipal de Educação</v>
      </c>
      <c r="D86" s="3" t="str">
        <f>VLOOKUP(B86,Listas!A$3:C$30,2,0)</f>
        <v>18101</v>
      </c>
      <c r="E86" s="13" t="s">
        <v>205</v>
      </c>
      <c r="F86" s="3" t="s">
        <v>425</v>
      </c>
      <c r="G86" s="3" t="s">
        <v>425</v>
      </c>
      <c r="H86" s="5" t="s">
        <v>425</v>
      </c>
      <c r="I86" s="5"/>
      <c r="J86" s="3" t="s">
        <v>425</v>
      </c>
      <c r="K86" s="12" t="s">
        <v>425</v>
      </c>
      <c r="L86" s="3" t="s">
        <v>425</v>
      </c>
      <c r="M86" s="3" t="s">
        <v>425</v>
      </c>
      <c r="N86" s="3" t="s">
        <v>425</v>
      </c>
      <c r="O86" s="3" t="s">
        <v>425</v>
      </c>
      <c r="P86" s="3" t="s">
        <v>425</v>
      </c>
      <c r="Q86" s="3" t="s">
        <v>425</v>
      </c>
    </row>
    <row r="87" spans="1:17" x14ac:dyDescent="0.2">
      <c r="A87" s="15">
        <f t="shared" si="1"/>
        <v>85</v>
      </c>
      <c r="B87" s="3" t="s">
        <v>63</v>
      </c>
      <c r="C87" s="3" t="str">
        <f>VLOOKUP(B87,Listas!A$3:C$30,3,0)</f>
        <v>Secretaria Municipal de Educação</v>
      </c>
      <c r="D87" s="3" t="str">
        <f>VLOOKUP(B87,Listas!A$3:C$30,2,0)</f>
        <v>18101</v>
      </c>
      <c r="E87" s="13" t="s">
        <v>206</v>
      </c>
      <c r="F87" s="3" t="s">
        <v>425</v>
      </c>
      <c r="G87" s="3" t="s">
        <v>425</v>
      </c>
      <c r="H87" s="5" t="s">
        <v>425</v>
      </c>
      <c r="I87" s="5"/>
      <c r="J87" s="3" t="s">
        <v>425</v>
      </c>
      <c r="K87" s="12" t="s">
        <v>425</v>
      </c>
      <c r="L87" s="3" t="s">
        <v>425</v>
      </c>
      <c r="M87" s="3" t="s">
        <v>425</v>
      </c>
      <c r="N87" s="3" t="s">
        <v>425</v>
      </c>
      <c r="O87" s="3" t="s">
        <v>425</v>
      </c>
      <c r="P87" s="3" t="s">
        <v>425</v>
      </c>
      <c r="Q87" s="3" t="s">
        <v>425</v>
      </c>
    </row>
    <row r="88" spans="1:17" x14ac:dyDescent="0.2">
      <c r="A88" s="15">
        <f t="shared" si="1"/>
        <v>86</v>
      </c>
      <c r="B88" s="3" t="s">
        <v>63</v>
      </c>
      <c r="C88" s="3" t="str">
        <f>VLOOKUP(B88,Listas!A$3:C$30,3,0)</f>
        <v>Secretaria Municipal de Educação</v>
      </c>
      <c r="D88" s="3" t="str">
        <f>VLOOKUP(B88,Listas!A$3:C$30,2,0)</f>
        <v>18101</v>
      </c>
      <c r="E88" s="13" t="s">
        <v>207</v>
      </c>
      <c r="F88" s="3" t="s">
        <v>425</v>
      </c>
      <c r="G88" s="3" t="s">
        <v>425</v>
      </c>
      <c r="H88" s="5" t="s">
        <v>425</v>
      </c>
      <c r="I88" s="5"/>
      <c r="J88" s="3" t="s">
        <v>425</v>
      </c>
      <c r="K88" s="12" t="s">
        <v>425</v>
      </c>
      <c r="L88" s="3" t="s">
        <v>425</v>
      </c>
      <c r="M88" s="3" t="s">
        <v>425</v>
      </c>
      <c r="N88" s="3" t="s">
        <v>425</v>
      </c>
      <c r="O88" s="3" t="s">
        <v>425</v>
      </c>
      <c r="P88" s="3" t="s">
        <v>425</v>
      </c>
      <c r="Q88" s="3" t="s">
        <v>425</v>
      </c>
    </row>
    <row r="89" spans="1:17" x14ac:dyDescent="0.2">
      <c r="A89" s="15">
        <f t="shared" si="1"/>
        <v>87</v>
      </c>
      <c r="B89" s="3" t="s">
        <v>63</v>
      </c>
      <c r="C89" s="3" t="str">
        <f>VLOOKUP(B89,Listas!A$3:C$30,3,0)</f>
        <v>Secretaria Municipal de Educação</v>
      </c>
      <c r="D89" s="3" t="str">
        <f>VLOOKUP(B89,Listas!A$3:C$30,2,0)</f>
        <v>18101</v>
      </c>
      <c r="E89" s="13" t="s">
        <v>208</v>
      </c>
      <c r="F89" s="3" t="s">
        <v>425</v>
      </c>
      <c r="G89" s="3" t="s">
        <v>425</v>
      </c>
      <c r="H89" s="5" t="s">
        <v>425</v>
      </c>
      <c r="I89" s="5"/>
      <c r="J89" s="3" t="s">
        <v>425</v>
      </c>
      <c r="K89" s="12" t="s">
        <v>425</v>
      </c>
      <c r="L89" s="3" t="s">
        <v>425</v>
      </c>
      <c r="M89" s="3" t="s">
        <v>425</v>
      </c>
      <c r="N89" s="3" t="s">
        <v>425</v>
      </c>
      <c r="O89" s="3" t="s">
        <v>425</v>
      </c>
      <c r="P89" s="3" t="s">
        <v>425</v>
      </c>
      <c r="Q89" s="3" t="s">
        <v>425</v>
      </c>
    </row>
    <row r="90" spans="1:17" x14ac:dyDescent="0.2">
      <c r="A90" s="15">
        <f t="shared" si="1"/>
        <v>88</v>
      </c>
      <c r="B90" s="3" t="s">
        <v>63</v>
      </c>
      <c r="C90" s="3" t="str">
        <f>VLOOKUP(B90,Listas!A$3:C$30,3,0)</f>
        <v>Secretaria Municipal de Educação</v>
      </c>
      <c r="D90" s="3" t="str">
        <f>VLOOKUP(B90,Listas!A$3:C$30,2,0)</f>
        <v>18101</v>
      </c>
      <c r="E90" s="13" t="s">
        <v>209</v>
      </c>
      <c r="F90" s="3" t="s">
        <v>425</v>
      </c>
      <c r="G90" s="3" t="s">
        <v>425</v>
      </c>
      <c r="H90" s="5" t="s">
        <v>425</v>
      </c>
      <c r="I90" s="5"/>
      <c r="J90" s="3" t="s">
        <v>425</v>
      </c>
      <c r="K90" s="12" t="s">
        <v>425</v>
      </c>
      <c r="L90" s="3" t="s">
        <v>425</v>
      </c>
      <c r="M90" s="3" t="s">
        <v>425</v>
      </c>
      <c r="N90" s="3" t="s">
        <v>425</v>
      </c>
      <c r="O90" s="3" t="s">
        <v>425</v>
      </c>
      <c r="P90" s="3" t="s">
        <v>425</v>
      </c>
      <c r="Q90" s="3" t="s">
        <v>425</v>
      </c>
    </row>
    <row r="91" spans="1:17" x14ac:dyDescent="0.2">
      <c r="A91" s="15">
        <f t="shared" si="1"/>
        <v>89</v>
      </c>
      <c r="B91" s="3" t="s">
        <v>63</v>
      </c>
      <c r="C91" s="3" t="str">
        <f>VLOOKUP(B91,Listas!A$3:C$30,3,0)</f>
        <v>Secretaria Municipal de Educação</v>
      </c>
      <c r="D91" s="3" t="str">
        <f>VLOOKUP(B91,Listas!A$3:C$30,2,0)</f>
        <v>18101</v>
      </c>
      <c r="E91" s="13" t="s">
        <v>210</v>
      </c>
      <c r="F91" s="3" t="s">
        <v>425</v>
      </c>
      <c r="G91" s="3" t="s">
        <v>425</v>
      </c>
      <c r="H91" s="5" t="s">
        <v>425</v>
      </c>
      <c r="I91" s="5"/>
      <c r="J91" s="3" t="s">
        <v>425</v>
      </c>
      <c r="K91" s="12" t="s">
        <v>425</v>
      </c>
      <c r="L91" s="3" t="s">
        <v>425</v>
      </c>
      <c r="M91" s="3" t="s">
        <v>425</v>
      </c>
      <c r="N91" s="3" t="s">
        <v>425</v>
      </c>
      <c r="O91" s="3" t="s">
        <v>425</v>
      </c>
      <c r="P91" s="3" t="s">
        <v>425</v>
      </c>
      <c r="Q91" s="3" t="s">
        <v>425</v>
      </c>
    </row>
    <row r="92" spans="1:17" x14ac:dyDescent="0.2">
      <c r="A92" s="15">
        <f t="shared" si="1"/>
        <v>90</v>
      </c>
      <c r="B92" s="3" t="s">
        <v>63</v>
      </c>
      <c r="C92" s="3" t="str">
        <f>VLOOKUP(B92,Listas!A$3:C$30,3,0)</f>
        <v>Secretaria Municipal de Educação</v>
      </c>
      <c r="D92" s="3" t="str">
        <f>VLOOKUP(B92,Listas!A$3:C$30,2,0)</f>
        <v>18101</v>
      </c>
      <c r="E92" s="13" t="s">
        <v>211</v>
      </c>
      <c r="F92" s="3" t="s">
        <v>425</v>
      </c>
      <c r="G92" s="3" t="s">
        <v>425</v>
      </c>
      <c r="H92" s="5" t="s">
        <v>425</v>
      </c>
      <c r="I92" s="5"/>
      <c r="J92" s="3" t="s">
        <v>425</v>
      </c>
      <c r="K92" s="12" t="s">
        <v>425</v>
      </c>
      <c r="L92" s="3" t="s">
        <v>425</v>
      </c>
      <c r="M92" s="3" t="s">
        <v>425</v>
      </c>
      <c r="N92" s="3" t="s">
        <v>425</v>
      </c>
      <c r="O92" s="3" t="s">
        <v>425</v>
      </c>
      <c r="P92" s="3" t="s">
        <v>425</v>
      </c>
      <c r="Q92" s="3" t="s">
        <v>425</v>
      </c>
    </row>
    <row r="93" spans="1:17" x14ac:dyDescent="0.2">
      <c r="A93" s="15">
        <f t="shared" si="1"/>
        <v>91</v>
      </c>
      <c r="B93" s="3" t="s">
        <v>63</v>
      </c>
      <c r="C93" s="3" t="str">
        <f>VLOOKUP(B93,Listas!A$3:C$30,3,0)</f>
        <v>Secretaria Municipal de Educação</v>
      </c>
      <c r="D93" s="3" t="str">
        <f>VLOOKUP(B93,Listas!A$3:C$30,2,0)</f>
        <v>18101</v>
      </c>
      <c r="E93" s="13" t="s">
        <v>212</v>
      </c>
      <c r="F93" s="3" t="s">
        <v>425</v>
      </c>
      <c r="G93" s="3" t="s">
        <v>425</v>
      </c>
      <c r="H93" s="5" t="s">
        <v>425</v>
      </c>
      <c r="I93" s="5"/>
      <c r="J93" s="3" t="s">
        <v>425</v>
      </c>
      <c r="K93" s="12" t="s">
        <v>425</v>
      </c>
      <c r="L93" s="3" t="s">
        <v>425</v>
      </c>
      <c r="M93" s="3" t="s">
        <v>425</v>
      </c>
      <c r="N93" s="3" t="s">
        <v>425</v>
      </c>
      <c r="O93" s="3" t="s">
        <v>425</v>
      </c>
      <c r="P93" s="3" t="s">
        <v>425</v>
      </c>
      <c r="Q93" s="3" t="s">
        <v>425</v>
      </c>
    </row>
    <row r="94" spans="1:17" x14ac:dyDescent="0.2">
      <c r="A94" s="15">
        <f t="shared" si="1"/>
        <v>92</v>
      </c>
      <c r="B94" s="3" t="s">
        <v>63</v>
      </c>
      <c r="C94" s="3" t="str">
        <f>VLOOKUP(B94,Listas!A$3:C$30,3,0)</f>
        <v>Secretaria Municipal de Educação</v>
      </c>
      <c r="D94" s="3" t="str">
        <f>VLOOKUP(B94,Listas!A$3:C$30,2,0)</f>
        <v>18101</v>
      </c>
      <c r="E94" s="13" t="s">
        <v>213</v>
      </c>
      <c r="F94" s="3" t="s">
        <v>425</v>
      </c>
      <c r="G94" s="3" t="s">
        <v>425</v>
      </c>
      <c r="H94" s="5" t="s">
        <v>425</v>
      </c>
      <c r="I94" s="5"/>
      <c r="J94" s="3" t="s">
        <v>425</v>
      </c>
      <c r="K94" s="12" t="s">
        <v>425</v>
      </c>
      <c r="L94" s="3" t="s">
        <v>425</v>
      </c>
      <c r="M94" s="3" t="s">
        <v>425</v>
      </c>
      <c r="N94" s="3" t="s">
        <v>425</v>
      </c>
      <c r="O94" s="3" t="s">
        <v>425</v>
      </c>
      <c r="P94" s="3" t="s">
        <v>425</v>
      </c>
      <c r="Q94" s="3" t="s">
        <v>425</v>
      </c>
    </row>
    <row r="95" spans="1:17" x14ac:dyDescent="0.2">
      <c r="A95" s="15">
        <f t="shared" si="1"/>
        <v>93</v>
      </c>
      <c r="B95" s="3" t="s">
        <v>63</v>
      </c>
      <c r="C95" s="3" t="str">
        <f>VLOOKUP(B95,Listas!A$3:C$30,3,0)</f>
        <v>Secretaria Municipal de Educação</v>
      </c>
      <c r="D95" s="3" t="str">
        <f>VLOOKUP(B95,Listas!A$3:C$30,2,0)</f>
        <v>18101</v>
      </c>
      <c r="E95" s="13" t="s">
        <v>214</v>
      </c>
      <c r="F95" s="3" t="s">
        <v>425</v>
      </c>
      <c r="G95" s="3" t="s">
        <v>425</v>
      </c>
      <c r="H95" s="5" t="s">
        <v>425</v>
      </c>
      <c r="I95" s="5"/>
      <c r="J95" s="3" t="s">
        <v>425</v>
      </c>
      <c r="K95" s="12" t="s">
        <v>425</v>
      </c>
      <c r="L95" s="3" t="s">
        <v>425</v>
      </c>
      <c r="M95" s="3" t="s">
        <v>425</v>
      </c>
      <c r="N95" s="3" t="s">
        <v>425</v>
      </c>
      <c r="O95" s="3" t="s">
        <v>425</v>
      </c>
      <c r="P95" s="3" t="s">
        <v>425</v>
      </c>
      <c r="Q95" s="3" t="s">
        <v>425</v>
      </c>
    </row>
    <row r="96" spans="1:17" x14ac:dyDescent="0.2">
      <c r="A96" s="15">
        <f t="shared" si="1"/>
        <v>94</v>
      </c>
      <c r="B96" s="3" t="s">
        <v>63</v>
      </c>
      <c r="C96" s="3" t="str">
        <f>VLOOKUP(B96,Listas!A$3:C$30,3,0)</f>
        <v>Secretaria Municipal de Educação</v>
      </c>
      <c r="D96" s="3" t="str">
        <f>VLOOKUP(B96,Listas!A$3:C$30,2,0)</f>
        <v>18101</v>
      </c>
      <c r="E96" s="13" t="s">
        <v>215</v>
      </c>
      <c r="F96" s="3" t="s">
        <v>425</v>
      </c>
      <c r="G96" s="3" t="s">
        <v>425</v>
      </c>
      <c r="H96" s="5" t="s">
        <v>425</v>
      </c>
      <c r="I96" s="5"/>
      <c r="J96" s="3" t="s">
        <v>425</v>
      </c>
      <c r="K96" s="12" t="s">
        <v>425</v>
      </c>
      <c r="L96" s="3" t="s">
        <v>425</v>
      </c>
      <c r="M96" s="3" t="s">
        <v>425</v>
      </c>
      <c r="N96" s="3" t="s">
        <v>425</v>
      </c>
      <c r="O96" s="3" t="s">
        <v>425</v>
      </c>
      <c r="P96" s="3" t="s">
        <v>425</v>
      </c>
      <c r="Q96" s="3" t="s">
        <v>425</v>
      </c>
    </row>
    <row r="97" spans="1:17" x14ac:dyDescent="0.2">
      <c r="A97" s="15">
        <f t="shared" si="1"/>
        <v>95</v>
      </c>
      <c r="B97" s="3" t="s">
        <v>63</v>
      </c>
      <c r="C97" s="3" t="str">
        <f>VLOOKUP(B97,Listas!A$3:C$30,3,0)</f>
        <v>Secretaria Municipal de Educação</v>
      </c>
      <c r="D97" s="3" t="str">
        <f>VLOOKUP(B97,Listas!A$3:C$30,2,0)</f>
        <v>18101</v>
      </c>
      <c r="E97" s="13" t="s">
        <v>216</v>
      </c>
      <c r="F97" s="3" t="s">
        <v>425</v>
      </c>
      <c r="G97" s="3" t="s">
        <v>425</v>
      </c>
      <c r="H97" s="5" t="s">
        <v>425</v>
      </c>
      <c r="I97" s="5"/>
      <c r="J97" s="3" t="s">
        <v>425</v>
      </c>
      <c r="K97" s="12" t="s">
        <v>425</v>
      </c>
      <c r="L97" s="3" t="s">
        <v>425</v>
      </c>
      <c r="M97" s="3" t="s">
        <v>425</v>
      </c>
      <c r="N97" s="3" t="s">
        <v>425</v>
      </c>
      <c r="O97" s="3" t="s">
        <v>425</v>
      </c>
      <c r="P97" s="3" t="s">
        <v>425</v>
      </c>
      <c r="Q97" s="3" t="s">
        <v>425</v>
      </c>
    </row>
    <row r="98" spans="1:17" x14ac:dyDescent="0.2">
      <c r="A98" s="15">
        <f t="shared" si="1"/>
        <v>96</v>
      </c>
      <c r="B98" s="3" t="s">
        <v>63</v>
      </c>
      <c r="C98" s="3" t="str">
        <f>VLOOKUP(B98,Listas!A$3:C$30,3,0)</f>
        <v>Secretaria Municipal de Educação</v>
      </c>
      <c r="D98" s="3" t="str">
        <f>VLOOKUP(B98,Listas!A$3:C$30,2,0)</f>
        <v>18101</v>
      </c>
      <c r="E98" s="13" t="s">
        <v>217</v>
      </c>
      <c r="F98" s="3" t="s">
        <v>425</v>
      </c>
      <c r="G98" s="3" t="s">
        <v>425</v>
      </c>
      <c r="H98" s="5" t="s">
        <v>425</v>
      </c>
      <c r="I98" s="5"/>
      <c r="J98" s="3" t="s">
        <v>425</v>
      </c>
      <c r="K98" s="12" t="s">
        <v>425</v>
      </c>
      <c r="L98" s="3" t="s">
        <v>425</v>
      </c>
      <c r="M98" s="3" t="s">
        <v>425</v>
      </c>
      <c r="N98" s="3" t="s">
        <v>425</v>
      </c>
      <c r="O98" s="3" t="s">
        <v>425</v>
      </c>
      <c r="P98" s="3" t="s">
        <v>425</v>
      </c>
      <c r="Q98" s="3" t="s">
        <v>425</v>
      </c>
    </row>
    <row r="99" spans="1:17" x14ac:dyDescent="0.2">
      <c r="A99" s="15">
        <f t="shared" si="1"/>
        <v>97</v>
      </c>
      <c r="B99" s="3" t="s">
        <v>63</v>
      </c>
      <c r="C99" s="3" t="str">
        <f>VLOOKUP(B99,Listas!A$3:C$30,3,0)</f>
        <v>Secretaria Municipal de Educação</v>
      </c>
      <c r="D99" s="3" t="str">
        <f>VLOOKUP(B99,Listas!A$3:C$30,2,0)</f>
        <v>18101</v>
      </c>
      <c r="E99" s="13" t="s">
        <v>218</v>
      </c>
      <c r="F99" s="3" t="s">
        <v>425</v>
      </c>
      <c r="G99" s="3" t="s">
        <v>425</v>
      </c>
      <c r="H99" s="5" t="s">
        <v>425</v>
      </c>
      <c r="I99" s="5"/>
      <c r="J99" s="3" t="s">
        <v>425</v>
      </c>
      <c r="K99" s="12" t="s">
        <v>425</v>
      </c>
      <c r="L99" s="3" t="s">
        <v>425</v>
      </c>
      <c r="M99" s="3" t="s">
        <v>425</v>
      </c>
      <c r="N99" s="3" t="s">
        <v>425</v>
      </c>
      <c r="O99" s="3" t="s">
        <v>425</v>
      </c>
      <c r="P99" s="3" t="s">
        <v>425</v>
      </c>
      <c r="Q99" s="3" t="s">
        <v>425</v>
      </c>
    </row>
    <row r="100" spans="1:17" x14ac:dyDescent="0.2">
      <c r="A100" s="15">
        <f t="shared" si="1"/>
        <v>98</v>
      </c>
      <c r="B100" s="3" t="s">
        <v>63</v>
      </c>
      <c r="C100" s="3" t="str">
        <f>VLOOKUP(B100,Listas!A$3:C$30,3,0)</f>
        <v>Secretaria Municipal de Educação</v>
      </c>
      <c r="D100" s="3" t="str">
        <f>VLOOKUP(B100,Listas!A$3:C$30,2,0)</f>
        <v>18101</v>
      </c>
      <c r="E100" s="13" t="s">
        <v>219</v>
      </c>
      <c r="F100" s="3" t="s">
        <v>425</v>
      </c>
      <c r="G100" s="3" t="s">
        <v>425</v>
      </c>
      <c r="H100" s="5" t="s">
        <v>425</v>
      </c>
      <c r="I100" s="5"/>
      <c r="J100" s="3" t="s">
        <v>425</v>
      </c>
      <c r="K100" s="12" t="s">
        <v>425</v>
      </c>
      <c r="L100" s="3" t="s">
        <v>425</v>
      </c>
      <c r="M100" s="3" t="s">
        <v>425</v>
      </c>
      <c r="N100" s="3" t="s">
        <v>425</v>
      </c>
      <c r="O100" s="3" t="s">
        <v>425</v>
      </c>
      <c r="P100" s="3" t="s">
        <v>425</v>
      </c>
      <c r="Q100" s="3" t="s">
        <v>425</v>
      </c>
    </row>
    <row r="101" spans="1:17" x14ac:dyDescent="0.2">
      <c r="A101" s="15">
        <f t="shared" si="1"/>
        <v>99</v>
      </c>
      <c r="B101" s="3" t="s">
        <v>63</v>
      </c>
      <c r="C101" s="3" t="str">
        <f>VLOOKUP(B101,Listas!A$3:C$30,3,0)</f>
        <v>Secretaria Municipal de Educação</v>
      </c>
      <c r="D101" s="3" t="str">
        <f>VLOOKUP(B101,Listas!A$3:C$30,2,0)</f>
        <v>18101</v>
      </c>
      <c r="E101" s="13" t="s">
        <v>220</v>
      </c>
      <c r="F101" s="3" t="s">
        <v>425</v>
      </c>
      <c r="G101" s="3" t="s">
        <v>425</v>
      </c>
      <c r="H101" s="5" t="s">
        <v>425</v>
      </c>
      <c r="I101" s="5"/>
      <c r="J101" s="3" t="s">
        <v>425</v>
      </c>
      <c r="K101" s="12" t="s">
        <v>425</v>
      </c>
      <c r="L101" s="3" t="s">
        <v>425</v>
      </c>
      <c r="M101" s="3" t="s">
        <v>425</v>
      </c>
      <c r="N101" s="3" t="s">
        <v>425</v>
      </c>
      <c r="O101" s="3" t="s">
        <v>425</v>
      </c>
      <c r="P101" s="3" t="s">
        <v>425</v>
      </c>
      <c r="Q101" s="3" t="s">
        <v>425</v>
      </c>
    </row>
    <row r="102" spans="1:17" x14ac:dyDescent="0.2">
      <c r="A102" s="15">
        <f t="shared" si="1"/>
        <v>100</v>
      </c>
      <c r="B102" s="3" t="s">
        <v>63</v>
      </c>
      <c r="C102" s="3" t="str">
        <f>VLOOKUP(B102,Listas!A$3:C$30,3,0)</f>
        <v>Secretaria Municipal de Educação</v>
      </c>
      <c r="D102" s="3" t="str">
        <f>VLOOKUP(B102,Listas!A$3:C$30,2,0)</f>
        <v>18101</v>
      </c>
      <c r="E102" s="13" t="s">
        <v>221</v>
      </c>
      <c r="F102" s="3" t="s">
        <v>425</v>
      </c>
      <c r="G102" s="3" t="s">
        <v>425</v>
      </c>
      <c r="H102" s="5" t="s">
        <v>425</v>
      </c>
      <c r="I102" s="5"/>
      <c r="J102" s="3" t="s">
        <v>425</v>
      </c>
      <c r="K102" s="12" t="s">
        <v>425</v>
      </c>
      <c r="L102" s="3" t="s">
        <v>425</v>
      </c>
      <c r="M102" s="3" t="s">
        <v>425</v>
      </c>
      <c r="N102" s="3" t="s">
        <v>425</v>
      </c>
      <c r="O102" s="3" t="s">
        <v>425</v>
      </c>
      <c r="P102" s="3" t="s">
        <v>425</v>
      </c>
      <c r="Q102" s="3" t="s">
        <v>425</v>
      </c>
    </row>
    <row r="103" spans="1:17" x14ac:dyDescent="0.2">
      <c r="A103" s="15">
        <f t="shared" si="1"/>
        <v>101</v>
      </c>
      <c r="B103" s="3" t="s">
        <v>63</v>
      </c>
      <c r="C103" s="3" t="str">
        <f>VLOOKUP(B103,Listas!A$3:C$30,3,0)</f>
        <v>Secretaria Municipal de Educação</v>
      </c>
      <c r="D103" s="3" t="str">
        <f>VLOOKUP(B103,Listas!A$3:C$30,2,0)</f>
        <v>18101</v>
      </c>
      <c r="E103" s="13" t="s">
        <v>222</v>
      </c>
      <c r="F103" s="3" t="s">
        <v>425</v>
      </c>
      <c r="G103" s="3" t="s">
        <v>425</v>
      </c>
      <c r="H103" s="5" t="s">
        <v>425</v>
      </c>
      <c r="I103" s="5"/>
      <c r="J103" s="3" t="s">
        <v>425</v>
      </c>
      <c r="K103" s="12" t="s">
        <v>425</v>
      </c>
      <c r="L103" s="3" t="s">
        <v>425</v>
      </c>
      <c r="M103" s="3" t="s">
        <v>425</v>
      </c>
      <c r="N103" s="3" t="s">
        <v>425</v>
      </c>
      <c r="O103" s="3" t="s">
        <v>425</v>
      </c>
      <c r="P103" s="3" t="s">
        <v>425</v>
      </c>
      <c r="Q103" s="3" t="s">
        <v>425</v>
      </c>
    </row>
    <row r="104" spans="1:17" x14ac:dyDescent="0.2">
      <c r="A104" s="15">
        <f t="shared" si="1"/>
        <v>102</v>
      </c>
      <c r="B104" s="3" t="s">
        <v>63</v>
      </c>
      <c r="C104" s="3" t="str">
        <f>VLOOKUP(B104,Listas!A$3:C$30,3,0)</f>
        <v>Secretaria Municipal de Educação</v>
      </c>
      <c r="D104" s="3" t="str">
        <f>VLOOKUP(B104,Listas!A$3:C$30,2,0)</f>
        <v>18101</v>
      </c>
      <c r="E104" s="13" t="s">
        <v>223</v>
      </c>
      <c r="F104" s="3" t="s">
        <v>425</v>
      </c>
      <c r="G104" s="3" t="s">
        <v>425</v>
      </c>
      <c r="H104" s="5" t="s">
        <v>425</v>
      </c>
      <c r="I104" s="5"/>
      <c r="J104" s="3" t="s">
        <v>425</v>
      </c>
      <c r="K104" s="12" t="s">
        <v>425</v>
      </c>
      <c r="L104" s="3" t="s">
        <v>425</v>
      </c>
      <c r="M104" s="3" t="s">
        <v>425</v>
      </c>
      <c r="N104" s="3" t="s">
        <v>425</v>
      </c>
      <c r="O104" s="3" t="s">
        <v>425</v>
      </c>
      <c r="P104" s="3" t="s">
        <v>425</v>
      </c>
      <c r="Q104" s="3" t="s">
        <v>425</v>
      </c>
    </row>
    <row r="105" spans="1:17" x14ac:dyDescent="0.2">
      <c r="A105" s="15">
        <f t="shared" si="1"/>
        <v>103</v>
      </c>
      <c r="B105" s="3" t="s">
        <v>63</v>
      </c>
      <c r="C105" s="3" t="str">
        <f>VLOOKUP(B105,Listas!A$3:C$30,3,0)</f>
        <v>Secretaria Municipal de Educação</v>
      </c>
      <c r="D105" s="3" t="str">
        <f>VLOOKUP(B105,Listas!A$3:C$30,2,0)</f>
        <v>18101</v>
      </c>
      <c r="E105" s="13" t="s">
        <v>224</v>
      </c>
      <c r="F105" s="3" t="s">
        <v>425</v>
      </c>
      <c r="G105" s="3" t="s">
        <v>425</v>
      </c>
      <c r="H105" s="5" t="s">
        <v>425</v>
      </c>
      <c r="I105" s="5"/>
      <c r="J105" s="3" t="s">
        <v>425</v>
      </c>
      <c r="K105" s="12" t="s">
        <v>425</v>
      </c>
      <c r="L105" s="3" t="s">
        <v>425</v>
      </c>
      <c r="M105" s="3" t="s">
        <v>425</v>
      </c>
      <c r="N105" s="3" t="s">
        <v>425</v>
      </c>
      <c r="O105" s="3" t="s">
        <v>425</v>
      </c>
      <c r="P105" s="3" t="s">
        <v>425</v>
      </c>
      <c r="Q105" s="3" t="s">
        <v>425</v>
      </c>
    </row>
    <row r="106" spans="1:17" x14ac:dyDescent="0.2">
      <c r="A106" s="15">
        <f t="shared" si="1"/>
        <v>104</v>
      </c>
      <c r="B106" s="3" t="s">
        <v>63</v>
      </c>
      <c r="C106" s="3" t="str">
        <f>VLOOKUP(B106,Listas!A$3:C$30,3,0)</f>
        <v>Secretaria Municipal de Educação</v>
      </c>
      <c r="D106" s="3" t="str">
        <f>VLOOKUP(B106,Listas!A$3:C$30,2,0)</f>
        <v>18101</v>
      </c>
      <c r="E106" s="13" t="s">
        <v>225</v>
      </c>
      <c r="F106" s="3" t="s">
        <v>425</v>
      </c>
      <c r="G106" s="3" t="s">
        <v>425</v>
      </c>
      <c r="H106" s="5" t="s">
        <v>425</v>
      </c>
      <c r="I106" s="5"/>
      <c r="J106" s="3" t="s">
        <v>425</v>
      </c>
      <c r="K106" s="12" t="s">
        <v>425</v>
      </c>
      <c r="L106" s="3" t="s">
        <v>425</v>
      </c>
      <c r="M106" s="3" t="s">
        <v>425</v>
      </c>
      <c r="N106" s="3" t="s">
        <v>425</v>
      </c>
      <c r="O106" s="3" t="s">
        <v>425</v>
      </c>
      <c r="P106" s="3" t="s">
        <v>425</v>
      </c>
      <c r="Q106" s="3" t="s">
        <v>425</v>
      </c>
    </row>
    <row r="107" spans="1:17" x14ac:dyDescent="0.2">
      <c r="A107" s="15">
        <f t="shared" si="1"/>
        <v>105</v>
      </c>
      <c r="B107" s="3" t="s">
        <v>63</v>
      </c>
      <c r="C107" s="3" t="str">
        <f>VLOOKUP(B107,Listas!A$3:C$30,3,0)</f>
        <v>Secretaria Municipal de Educação</v>
      </c>
      <c r="D107" s="3" t="str">
        <f>VLOOKUP(B107,Listas!A$3:C$30,2,0)</f>
        <v>18101</v>
      </c>
      <c r="E107" s="13" t="s">
        <v>226</v>
      </c>
      <c r="F107" s="3" t="s">
        <v>425</v>
      </c>
      <c r="G107" s="3" t="s">
        <v>425</v>
      </c>
      <c r="H107" s="5" t="s">
        <v>425</v>
      </c>
      <c r="I107" s="5"/>
      <c r="J107" s="3" t="s">
        <v>425</v>
      </c>
      <c r="K107" s="12" t="s">
        <v>425</v>
      </c>
      <c r="L107" s="3" t="s">
        <v>425</v>
      </c>
      <c r="M107" s="3" t="s">
        <v>425</v>
      </c>
      <c r="N107" s="3" t="s">
        <v>425</v>
      </c>
      <c r="O107" s="3" t="s">
        <v>425</v>
      </c>
      <c r="P107" s="3" t="s">
        <v>425</v>
      </c>
      <c r="Q107" s="3" t="s">
        <v>425</v>
      </c>
    </row>
    <row r="108" spans="1:17" x14ac:dyDescent="0.2">
      <c r="A108" s="15">
        <f t="shared" si="1"/>
        <v>106</v>
      </c>
      <c r="B108" s="3" t="s">
        <v>63</v>
      </c>
      <c r="C108" s="3" t="str">
        <f>VLOOKUP(B108,Listas!A$3:C$30,3,0)</f>
        <v>Secretaria Municipal de Educação</v>
      </c>
      <c r="D108" s="3" t="str">
        <f>VLOOKUP(B108,Listas!A$3:C$30,2,0)</f>
        <v>18101</v>
      </c>
      <c r="E108" s="13" t="s">
        <v>227</v>
      </c>
      <c r="F108" s="3" t="s">
        <v>425</v>
      </c>
      <c r="G108" s="3" t="s">
        <v>425</v>
      </c>
      <c r="H108" s="5" t="s">
        <v>425</v>
      </c>
      <c r="I108" s="5"/>
      <c r="J108" s="3" t="s">
        <v>425</v>
      </c>
      <c r="K108" s="12" t="s">
        <v>425</v>
      </c>
      <c r="L108" s="3" t="s">
        <v>425</v>
      </c>
      <c r="M108" s="3" t="s">
        <v>425</v>
      </c>
      <c r="N108" s="3" t="s">
        <v>425</v>
      </c>
      <c r="O108" s="3" t="s">
        <v>425</v>
      </c>
      <c r="P108" s="3" t="s">
        <v>425</v>
      </c>
      <c r="Q108" s="3" t="s">
        <v>425</v>
      </c>
    </row>
    <row r="109" spans="1:17" x14ac:dyDescent="0.2">
      <c r="A109" s="15">
        <f t="shared" si="1"/>
        <v>107</v>
      </c>
      <c r="B109" s="3" t="s">
        <v>63</v>
      </c>
      <c r="C109" s="3" t="str">
        <f>VLOOKUP(B109,Listas!A$3:C$30,3,0)</f>
        <v>Secretaria Municipal de Educação</v>
      </c>
      <c r="D109" s="3" t="str">
        <f>VLOOKUP(B109,Listas!A$3:C$30,2,0)</f>
        <v>18101</v>
      </c>
      <c r="E109" s="13" t="s">
        <v>228</v>
      </c>
      <c r="F109" s="3" t="s">
        <v>425</v>
      </c>
      <c r="G109" s="3" t="s">
        <v>425</v>
      </c>
      <c r="H109" s="5" t="s">
        <v>425</v>
      </c>
      <c r="I109" s="5"/>
      <c r="J109" s="3" t="s">
        <v>425</v>
      </c>
      <c r="K109" s="12" t="s">
        <v>425</v>
      </c>
      <c r="L109" s="3" t="s">
        <v>425</v>
      </c>
      <c r="M109" s="3" t="s">
        <v>425</v>
      </c>
      <c r="N109" s="3" t="s">
        <v>425</v>
      </c>
      <c r="O109" s="3" t="s">
        <v>425</v>
      </c>
      <c r="P109" s="3" t="s">
        <v>425</v>
      </c>
      <c r="Q109" s="3" t="s">
        <v>425</v>
      </c>
    </row>
    <row r="110" spans="1:17" x14ac:dyDescent="0.2">
      <c r="A110" s="15">
        <f t="shared" si="1"/>
        <v>108</v>
      </c>
      <c r="B110" s="3" t="s">
        <v>63</v>
      </c>
      <c r="C110" s="3" t="str">
        <f>VLOOKUP(B110,Listas!A$3:C$30,3,0)</f>
        <v>Secretaria Municipal de Educação</v>
      </c>
      <c r="D110" s="3" t="str">
        <f>VLOOKUP(B110,Listas!A$3:C$30,2,0)</f>
        <v>18101</v>
      </c>
      <c r="E110" s="13" t="s">
        <v>229</v>
      </c>
      <c r="F110" s="3" t="s">
        <v>425</v>
      </c>
      <c r="G110" s="3" t="s">
        <v>425</v>
      </c>
      <c r="H110" s="5" t="s">
        <v>425</v>
      </c>
      <c r="I110" s="5"/>
      <c r="J110" s="3" t="s">
        <v>425</v>
      </c>
      <c r="K110" s="12" t="s">
        <v>425</v>
      </c>
      <c r="L110" s="3" t="s">
        <v>425</v>
      </c>
      <c r="M110" s="3" t="s">
        <v>425</v>
      </c>
      <c r="N110" s="3" t="s">
        <v>425</v>
      </c>
      <c r="O110" s="3" t="s">
        <v>425</v>
      </c>
      <c r="P110" s="3" t="s">
        <v>425</v>
      </c>
      <c r="Q110" s="3" t="s">
        <v>425</v>
      </c>
    </row>
    <row r="111" spans="1:17" x14ac:dyDescent="0.2">
      <c r="A111" s="15">
        <f t="shared" si="1"/>
        <v>109</v>
      </c>
      <c r="B111" s="3" t="s">
        <v>63</v>
      </c>
      <c r="C111" s="3" t="str">
        <f>VLOOKUP(B111,Listas!A$3:C$30,3,0)</f>
        <v>Secretaria Municipal de Educação</v>
      </c>
      <c r="D111" s="3" t="str">
        <f>VLOOKUP(B111,Listas!A$3:C$30,2,0)</f>
        <v>18101</v>
      </c>
      <c r="E111" s="13" t="s">
        <v>230</v>
      </c>
      <c r="F111" s="3" t="s">
        <v>425</v>
      </c>
      <c r="G111" s="3" t="s">
        <v>425</v>
      </c>
      <c r="H111" s="5" t="s">
        <v>425</v>
      </c>
      <c r="I111" s="5"/>
      <c r="J111" s="3" t="s">
        <v>425</v>
      </c>
      <c r="K111" s="12" t="s">
        <v>425</v>
      </c>
      <c r="L111" s="3" t="s">
        <v>425</v>
      </c>
      <c r="M111" s="3" t="s">
        <v>425</v>
      </c>
      <c r="N111" s="3" t="s">
        <v>425</v>
      </c>
      <c r="O111" s="3" t="s">
        <v>425</v>
      </c>
      <c r="P111" s="3" t="s">
        <v>425</v>
      </c>
      <c r="Q111" s="3" t="s">
        <v>425</v>
      </c>
    </row>
    <row r="112" spans="1:17" x14ac:dyDescent="0.2">
      <c r="A112" s="15">
        <f t="shared" si="1"/>
        <v>110</v>
      </c>
      <c r="B112" s="3" t="s">
        <v>63</v>
      </c>
      <c r="C112" s="3" t="str">
        <f>VLOOKUP(B112,Listas!A$3:C$30,3,0)</f>
        <v>Secretaria Municipal de Educação</v>
      </c>
      <c r="D112" s="3" t="str">
        <f>VLOOKUP(B112,Listas!A$3:C$30,2,0)</f>
        <v>18101</v>
      </c>
      <c r="E112" s="13" t="s">
        <v>231</v>
      </c>
      <c r="F112" s="3" t="s">
        <v>425</v>
      </c>
      <c r="G112" s="3" t="s">
        <v>425</v>
      </c>
      <c r="H112" s="5" t="s">
        <v>425</v>
      </c>
      <c r="I112" s="5"/>
      <c r="J112" s="3" t="s">
        <v>425</v>
      </c>
      <c r="K112" s="12" t="s">
        <v>425</v>
      </c>
      <c r="L112" s="3" t="s">
        <v>425</v>
      </c>
      <c r="M112" s="3" t="s">
        <v>425</v>
      </c>
      <c r="N112" s="3" t="s">
        <v>425</v>
      </c>
      <c r="O112" s="3" t="s">
        <v>425</v>
      </c>
      <c r="P112" s="3" t="s">
        <v>425</v>
      </c>
      <c r="Q112" s="3" t="s">
        <v>425</v>
      </c>
    </row>
    <row r="113" spans="1:17" x14ac:dyDescent="0.2">
      <c r="A113" s="15">
        <f t="shared" si="1"/>
        <v>111</v>
      </c>
      <c r="B113" s="3" t="s">
        <v>63</v>
      </c>
      <c r="C113" s="3" t="str">
        <f>VLOOKUP(B113,Listas!A$3:C$30,3,0)</f>
        <v>Secretaria Municipal de Educação</v>
      </c>
      <c r="D113" s="3" t="str">
        <f>VLOOKUP(B113,Listas!A$3:C$30,2,0)</f>
        <v>18101</v>
      </c>
      <c r="E113" s="13" t="s">
        <v>232</v>
      </c>
      <c r="F113" s="3" t="s">
        <v>425</v>
      </c>
      <c r="G113" s="3" t="s">
        <v>425</v>
      </c>
      <c r="H113" s="5" t="s">
        <v>425</v>
      </c>
      <c r="I113" s="5"/>
      <c r="J113" s="3" t="s">
        <v>425</v>
      </c>
      <c r="K113" s="12" t="s">
        <v>425</v>
      </c>
      <c r="L113" s="3" t="s">
        <v>425</v>
      </c>
      <c r="M113" s="3" t="s">
        <v>425</v>
      </c>
      <c r="N113" s="3" t="s">
        <v>425</v>
      </c>
      <c r="O113" s="3" t="s">
        <v>425</v>
      </c>
      <c r="P113" s="3" t="s">
        <v>425</v>
      </c>
      <c r="Q113" s="3" t="s">
        <v>425</v>
      </c>
    </row>
    <row r="114" spans="1:17" x14ac:dyDescent="0.2">
      <c r="A114" s="15">
        <f t="shared" si="1"/>
        <v>112</v>
      </c>
      <c r="B114" s="3" t="s">
        <v>63</v>
      </c>
      <c r="C114" s="3" t="str">
        <f>VLOOKUP(B114,Listas!A$3:C$30,3,0)</f>
        <v>Secretaria Municipal de Educação</v>
      </c>
      <c r="D114" s="3" t="str">
        <f>VLOOKUP(B114,Listas!A$3:C$30,2,0)</f>
        <v>18101</v>
      </c>
      <c r="E114" s="13" t="s">
        <v>233</v>
      </c>
      <c r="F114" s="3" t="s">
        <v>425</v>
      </c>
      <c r="G114" s="3" t="s">
        <v>425</v>
      </c>
      <c r="H114" s="5" t="s">
        <v>425</v>
      </c>
      <c r="I114" s="5"/>
      <c r="J114" s="3" t="s">
        <v>425</v>
      </c>
      <c r="K114" s="12" t="s">
        <v>425</v>
      </c>
      <c r="L114" s="3" t="s">
        <v>425</v>
      </c>
      <c r="M114" s="3" t="s">
        <v>425</v>
      </c>
      <c r="N114" s="3" t="s">
        <v>425</v>
      </c>
      <c r="O114" s="3" t="s">
        <v>425</v>
      </c>
      <c r="P114" s="3" t="s">
        <v>425</v>
      </c>
      <c r="Q114" s="3" t="s">
        <v>425</v>
      </c>
    </row>
    <row r="115" spans="1:17" x14ac:dyDescent="0.2">
      <c r="A115" s="15">
        <f t="shared" si="1"/>
        <v>113</v>
      </c>
      <c r="B115" s="3" t="s">
        <v>63</v>
      </c>
      <c r="C115" s="3" t="str">
        <f>VLOOKUP(B115,Listas!A$3:C$30,3,0)</f>
        <v>Secretaria Municipal de Educação</v>
      </c>
      <c r="D115" s="3" t="str">
        <f>VLOOKUP(B115,Listas!A$3:C$30,2,0)</f>
        <v>18101</v>
      </c>
      <c r="E115" s="13" t="s">
        <v>234</v>
      </c>
      <c r="F115" s="3" t="s">
        <v>425</v>
      </c>
      <c r="G115" s="3" t="s">
        <v>425</v>
      </c>
      <c r="H115" s="5" t="s">
        <v>425</v>
      </c>
      <c r="I115" s="5"/>
      <c r="J115" s="3" t="s">
        <v>425</v>
      </c>
      <c r="K115" s="12" t="s">
        <v>425</v>
      </c>
      <c r="L115" s="3" t="s">
        <v>425</v>
      </c>
      <c r="M115" s="3" t="s">
        <v>425</v>
      </c>
      <c r="N115" s="3" t="s">
        <v>425</v>
      </c>
      <c r="O115" s="3" t="s">
        <v>425</v>
      </c>
      <c r="P115" s="3" t="s">
        <v>425</v>
      </c>
      <c r="Q115" s="3" t="s">
        <v>425</v>
      </c>
    </row>
    <row r="116" spans="1:17" x14ac:dyDescent="0.2">
      <c r="A116" s="15">
        <f t="shared" si="1"/>
        <v>114</v>
      </c>
      <c r="B116" s="3" t="s">
        <v>63</v>
      </c>
      <c r="C116" s="3" t="str">
        <f>VLOOKUP(B116,Listas!A$3:C$30,3,0)</f>
        <v>Secretaria Municipal de Educação</v>
      </c>
      <c r="D116" s="3" t="str">
        <f>VLOOKUP(B116,Listas!A$3:C$30,2,0)</f>
        <v>18101</v>
      </c>
      <c r="E116" s="13" t="s">
        <v>235</v>
      </c>
      <c r="F116" s="3" t="s">
        <v>425</v>
      </c>
      <c r="G116" s="3" t="s">
        <v>425</v>
      </c>
      <c r="H116" s="5" t="s">
        <v>425</v>
      </c>
      <c r="I116" s="5"/>
      <c r="J116" s="3" t="s">
        <v>425</v>
      </c>
      <c r="K116" s="12" t="s">
        <v>425</v>
      </c>
      <c r="L116" s="3" t="s">
        <v>425</v>
      </c>
      <c r="M116" s="3" t="s">
        <v>425</v>
      </c>
      <c r="N116" s="3" t="s">
        <v>425</v>
      </c>
      <c r="O116" s="3" t="s">
        <v>425</v>
      </c>
      <c r="P116" s="3" t="s">
        <v>425</v>
      </c>
      <c r="Q116" s="3" t="s">
        <v>425</v>
      </c>
    </row>
    <row r="117" spans="1:17" x14ac:dyDescent="0.2">
      <c r="A117" s="15">
        <f t="shared" si="1"/>
        <v>115</v>
      </c>
      <c r="B117" s="3" t="s">
        <v>63</v>
      </c>
      <c r="C117" s="3" t="str">
        <f>VLOOKUP(B117,Listas!A$3:C$30,3,0)</f>
        <v>Secretaria Municipal de Educação</v>
      </c>
      <c r="D117" s="3" t="str">
        <f>VLOOKUP(B117,Listas!A$3:C$30,2,0)</f>
        <v>18101</v>
      </c>
      <c r="E117" s="13" t="s">
        <v>236</v>
      </c>
      <c r="F117" s="3" t="s">
        <v>425</v>
      </c>
      <c r="G117" s="3" t="s">
        <v>425</v>
      </c>
      <c r="H117" s="5" t="s">
        <v>425</v>
      </c>
      <c r="I117" s="5"/>
      <c r="J117" s="3" t="s">
        <v>425</v>
      </c>
      <c r="K117" s="12" t="s">
        <v>425</v>
      </c>
      <c r="L117" s="3" t="s">
        <v>425</v>
      </c>
      <c r="M117" s="3" t="s">
        <v>425</v>
      </c>
      <c r="N117" s="3" t="s">
        <v>425</v>
      </c>
      <c r="O117" s="3" t="s">
        <v>425</v>
      </c>
      <c r="P117" s="3" t="s">
        <v>425</v>
      </c>
      <c r="Q117" s="3" t="s">
        <v>425</v>
      </c>
    </row>
    <row r="118" spans="1:17" x14ac:dyDescent="0.2">
      <c r="A118" s="15">
        <f t="shared" si="1"/>
        <v>116</v>
      </c>
      <c r="B118" s="3" t="s">
        <v>63</v>
      </c>
      <c r="C118" s="3" t="str">
        <f>VLOOKUP(B118,Listas!A$3:C$30,3,0)</f>
        <v>Secretaria Municipal de Educação</v>
      </c>
      <c r="D118" s="3" t="str">
        <f>VLOOKUP(B118,Listas!A$3:C$30,2,0)</f>
        <v>18101</v>
      </c>
      <c r="E118" s="13" t="s">
        <v>237</v>
      </c>
      <c r="F118" s="3" t="s">
        <v>425</v>
      </c>
      <c r="G118" s="3" t="s">
        <v>425</v>
      </c>
      <c r="H118" s="5" t="s">
        <v>425</v>
      </c>
      <c r="I118" s="5"/>
      <c r="J118" s="3" t="s">
        <v>425</v>
      </c>
      <c r="K118" s="12" t="s">
        <v>425</v>
      </c>
      <c r="L118" s="3" t="s">
        <v>425</v>
      </c>
      <c r="M118" s="3" t="s">
        <v>425</v>
      </c>
      <c r="N118" s="3" t="s">
        <v>425</v>
      </c>
      <c r="O118" s="3" t="s">
        <v>425</v>
      </c>
      <c r="P118" s="3" t="s">
        <v>425</v>
      </c>
      <c r="Q118" s="3" t="s">
        <v>425</v>
      </c>
    </row>
    <row r="119" spans="1:17" x14ac:dyDescent="0.2">
      <c r="A119" s="15">
        <f t="shared" si="1"/>
        <v>117</v>
      </c>
      <c r="B119" s="3" t="s">
        <v>63</v>
      </c>
      <c r="C119" s="3" t="str">
        <f>VLOOKUP(B119,Listas!A$3:C$30,3,0)</f>
        <v>Secretaria Municipal de Educação</v>
      </c>
      <c r="D119" s="3" t="str">
        <f>VLOOKUP(B119,Listas!A$3:C$30,2,0)</f>
        <v>18101</v>
      </c>
      <c r="E119" s="13" t="s">
        <v>238</v>
      </c>
      <c r="F119" s="3" t="s">
        <v>425</v>
      </c>
      <c r="G119" s="3" t="s">
        <v>425</v>
      </c>
      <c r="H119" s="5" t="s">
        <v>425</v>
      </c>
      <c r="I119" s="5"/>
      <c r="J119" s="3" t="s">
        <v>425</v>
      </c>
      <c r="K119" s="12" t="s">
        <v>425</v>
      </c>
      <c r="L119" s="3" t="s">
        <v>425</v>
      </c>
      <c r="M119" s="3" t="s">
        <v>425</v>
      </c>
      <c r="N119" s="3" t="s">
        <v>425</v>
      </c>
      <c r="O119" s="3" t="s">
        <v>425</v>
      </c>
      <c r="P119" s="3" t="s">
        <v>425</v>
      </c>
      <c r="Q119" s="3" t="s">
        <v>425</v>
      </c>
    </row>
    <row r="120" spans="1:17" x14ac:dyDescent="0.2">
      <c r="A120" s="15">
        <f t="shared" si="1"/>
        <v>118</v>
      </c>
      <c r="B120" s="3" t="s">
        <v>63</v>
      </c>
      <c r="C120" s="3" t="str">
        <f>VLOOKUP(B120,Listas!A$3:C$30,3,0)</f>
        <v>Secretaria Municipal de Educação</v>
      </c>
      <c r="D120" s="3" t="str">
        <f>VLOOKUP(B120,Listas!A$3:C$30,2,0)</f>
        <v>18101</v>
      </c>
      <c r="E120" s="13" t="s">
        <v>239</v>
      </c>
      <c r="F120" s="3" t="s">
        <v>425</v>
      </c>
      <c r="G120" s="3" t="s">
        <v>425</v>
      </c>
      <c r="H120" s="5" t="s">
        <v>425</v>
      </c>
      <c r="I120" s="5"/>
      <c r="J120" s="3" t="s">
        <v>425</v>
      </c>
      <c r="K120" s="12" t="s">
        <v>425</v>
      </c>
      <c r="L120" s="3" t="s">
        <v>425</v>
      </c>
      <c r="M120" s="3" t="s">
        <v>425</v>
      </c>
      <c r="N120" s="3" t="s">
        <v>425</v>
      </c>
      <c r="O120" s="3" t="s">
        <v>425</v>
      </c>
      <c r="P120" s="3" t="s">
        <v>425</v>
      </c>
      <c r="Q120" s="3" t="s">
        <v>425</v>
      </c>
    </row>
    <row r="121" spans="1:17" x14ac:dyDescent="0.2">
      <c r="A121" s="15">
        <f t="shared" si="1"/>
        <v>119</v>
      </c>
      <c r="B121" s="3" t="s">
        <v>63</v>
      </c>
      <c r="C121" s="3" t="str">
        <f>VLOOKUP(B121,Listas!A$3:C$30,3,0)</f>
        <v>Secretaria Municipal de Educação</v>
      </c>
      <c r="D121" s="3" t="str">
        <f>VLOOKUP(B121,Listas!A$3:C$30,2,0)</f>
        <v>18101</v>
      </c>
      <c r="E121" s="13" t="s">
        <v>240</v>
      </c>
      <c r="F121" s="3" t="s">
        <v>425</v>
      </c>
      <c r="G121" s="3" t="s">
        <v>425</v>
      </c>
      <c r="H121" s="5" t="s">
        <v>425</v>
      </c>
      <c r="I121" s="5"/>
      <c r="J121" s="3" t="s">
        <v>425</v>
      </c>
      <c r="K121" s="12" t="s">
        <v>425</v>
      </c>
      <c r="L121" s="3" t="s">
        <v>425</v>
      </c>
      <c r="M121" s="3" t="s">
        <v>425</v>
      </c>
      <c r="N121" s="3" t="s">
        <v>425</v>
      </c>
      <c r="O121" s="3" t="s">
        <v>425</v>
      </c>
      <c r="P121" s="3" t="s">
        <v>425</v>
      </c>
      <c r="Q121" s="3" t="s">
        <v>425</v>
      </c>
    </row>
    <row r="122" spans="1:17" x14ac:dyDescent="0.2">
      <c r="A122" s="15">
        <f t="shared" si="1"/>
        <v>120</v>
      </c>
      <c r="B122" s="3" t="s">
        <v>63</v>
      </c>
      <c r="C122" s="3" t="str">
        <f>VLOOKUP(B122,Listas!A$3:C$30,3,0)</f>
        <v>Secretaria Municipal de Educação</v>
      </c>
      <c r="D122" s="3" t="str">
        <f>VLOOKUP(B122,Listas!A$3:C$30,2,0)</f>
        <v>18101</v>
      </c>
      <c r="E122" s="13" t="s">
        <v>241</v>
      </c>
      <c r="F122" s="3" t="s">
        <v>425</v>
      </c>
      <c r="G122" s="3" t="s">
        <v>425</v>
      </c>
      <c r="H122" s="5" t="s">
        <v>425</v>
      </c>
      <c r="I122" s="5"/>
      <c r="J122" s="3" t="s">
        <v>425</v>
      </c>
      <c r="K122" s="12" t="s">
        <v>425</v>
      </c>
      <c r="L122" s="3" t="s">
        <v>425</v>
      </c>
      <c r="M122" s="3" t="s">
        <v>425</v>
      </c>
      <c r="N122" s="3" t="s">
        <v>425</v>
      </c>
      <c r="O122" s="3" t="s">
        <v>425</v>
      </c>
      <c r="P122" s="3" t="s">
        <v>425</v>
      </c>
      <c r="Q122" s="3" t="s">
        <v>425</v>
      </c>
    </row>
    <row r="123" spans="1:17" x14ac:dyDescent="0.2">
      <c r="A123" s="15">
        <f t="shared" si="1"/>
        <v>121</v>
      </c>
      <c r="B123" s="3" t="s">
        <v>63</v>
      </c>
      <c r="C123" s="3" t="str">
        <f>VLOOKUP(B123,Listas!A$3:C$30,3,0)</f>
        <v>Secretaria Municipal de Educação</v>
      </c>
      <c r="D123" s="3" t="str">
        <f>VLOOKUP(B123,Listas!A$3:C$30,2,0)</f>
        <v>18101</v>
      </c>
      <c r="E123" s="13" t="s">
        <v>242</v>
      </c>
      <c r="F123" s="3" t="s">
        <v>425</v>
      </c>
      <c r="G123" s="3" t="s">
        <v>425</v>
      </c>
      <c r="H123" s="5" t="s">
        <v>425</v>
      </c>
      <c r="I123" s="5"/>
      <c r="J123" s="3" t="s">
        <v>425</v>
      </c>
      <c r="K123" s="12" t="s">
        <v>425</v>
      </c>
      <c r="L123" s="3" t="s">
        <v>425</v>
      </c>
      <c r="M123" s="3" t="s">
        <v>425</v>
      </c>
      <c r="N123" s="3" t="s">
        <v>425</v>
      </c>
      <c r="O123" s="3" t="s">
        <v>425</v>
      </c>
      <c r="P123" s="3" t="s">
        <v>425</v>
      </c>
      <c r="Q123" s="3" t="s">
        <v>425</v>
      </c>
    </row>
    <row r="124" spans="1:17" x14ac:dyDescent="0.2">
      <c r="A124" s="15">
        <f t="shared" si="1"/>
        <v>122</v>
      </c>
      <c r="B124" s="3" t="s">
        <v>63</v>
      </c>
      <c r="C124" s="3" t="str">
        <f>VLOOKUP(B124,Listas!A$3:C$30,3,0)</f>
        <v>Secretaria Municipal de Educação</v>
      </c>
      <c r="D124" s="3" t="str">
        <f>VLOOKUP(B124,Listas!A$3:C$30,2,0)</f>
        <v>18101</v>
      </c>
      <c r="E124" s="13" t="s">
        <v>243</v>
      </c>
      <c r="F124" s="3" t="s">
        <v>425</v>
      </c>
      <c r="G124" s="3" t="s">
        <v>425</v>
      </c>
      <c r="H124" s="5" t="s">
        <v>425</v>
      </c>
      <c r="I124" s="5"/>
      <c r="J124" s="3" t="s">
        <v>425</v>
      </c>
      <c r="K124" s="12" t="s">
        <v>425</v>
      </c>
      <c r="L124" s="3" t="s">
        <v>425</v>
      </c>
      <c r="M124" s="3" t="s">
        <v>425</v>
      </c>
      <c r="N124" s="3" t="s">
        <v>425</v>
      </c>
      <c r="O124" s="3" t="s">
        <v>425</v>
      </c>
      <c r="P124" s="3" t="s">
        <v>425</v>
      </c>
      <c r="Q124" s="3" t="s">
        <v>425</v>
      </c>
    </row>
    <row r="125" spans="1:17" x14ac:dyDescent="0.2">
      <c r="A125" s="15">
        <f t="shared" si="1"/>
        <v>123</v>
      </c>
      <c r="B125" s="3" t="s">
        <v>63</v>
      </c>
      <c r="C125" s="3" t="str">
        <f>VLOOKUP(B125,Listas!A$3:C$30,3,0)</f>
        <v>Secretaria Municipal de Educação</v>
      </c>
      <c r="D125" s="3" t="str">
        <f>VLOOKUP(B125,Listas!A$3:C$30,2,0)</f>
        <v>18101</v>
      </c>
      <c r="E125" s="13" t="s">
        <v>244</v>
      </c>
      <c r="F125" s="3" t="s">
        <v>425</v>
      </c>
      <c r="G125" s="3" t="s">
        <v>425</v>
      </c>
      <c r="H125" s="5" t="s">
        <v>425</v>
      </c>
      <c r="I125" s="5"/>
      <c r="J125" s="3" t="s">
        <v>425</v>
      </c>
      <c r="K125" s="12" t="s">
        <v>425</v>
      </c>
      <c r="L125" s="3" t="s">
        <v>425</v>
      </c>
      <c r="M125" s="3" t="s">
        <v>425</v>
      </c>
      <c r="N125" s="3" t="s">
        <v>425</v>
      </c>
      <c r="O125" s="3" t="s">
        <v>425</v>
      </c>
      <c r="P125" s="3" t="s">
        <v>425</v>
      </c>
      <c r="Q125" s="3" t="s">
        <v>425</v>
      </c>
    </row>
    <row r="126" spans="1:17" x14ac:dyDescent="0.2">
      <c r="A126" s="15">
        <f t="shared" si="1"/>
        <v>124</v>
      </c>
      <c r="B126" s="3" t="s">
        <v>63</v>
      </c>
      <c r="C126" s="3" t="str">
        <f>VLOOKUP(B126,Listas!A$3:C$30,3,0)</f>
        <v>Secretaria Municipal de Educação</v>
      </c>
      <c r="D126" s="3" t="str">
        <f>VLOOKUP(B126,Listas!A$3:C$30,2,0)</f>
        <v>18101</v>
      </c>
      <c r="E126" s="13" t="s">
        <v>245</v>
      </c>
      <c r="F126" s="3" t="s">
        <v>425</v>
      </c>
      <c r="G126" s="3" t="s">
        <v>425</v>
      </c>
      <c r="H126" s="5" t="s">
        <v>425</v>
      </c>
      <c r="I126" s="5"/>
      <c r="J126" s="3" t="s">
        <v>425</v>
      </c>
      <c r="K126" s="12" t="s">
        <v>425</v>
      </c>
      <c r="L126" s="3" t="s">
        <v>425</v>
      </c>
      <c r="M126" s="3" t="s">
        <v>425</v>
      </c>
      <c r="N126" s="3" t="s">
        <v>425</v>
      </c>
      <c r="O126" s="3" t="s">
        <v>425</v>
      </c>
      <c r="P126" s="3" t="s">
        <v>425</v>
      </c>
      <c r="Q126" s="3" t="s">
        <v>425</v>
      </c>
    </row>
    <row r="127" spans="1:17" x14ac:dyDescent="0.2">
      <c r="A127" s="15">
        <f t="shared" si="1"/>
        <v>125</v>
      </c>
      <c r="B127" s="3" t="s">
        <v>63</v>
      </c>
      <c r="C127" s="3" t="str">
        <f>VLOOKUP(B127,Listas!A$3:C$30,3,0)</f>
        <v>Secretaria Municipal de Educação</v>
      </c>
      <c r="D127" s="3" t="str">
        <f>VLOOKUP(B127,Listas!A$3:C$30,2,0)</f>
        <v>18101</v>
      </c>
      <c r="E127" s="13" t="s">
        <v>246</v>
      </c>
      <c r="F127" s="3" t="s">
        <v>425</v>
      </c>
      <c r="G127" s="3" t="s">
        <v>425</v>
      </c>
      <c r="H127" s="5" t="s">
        <v>425</v>
      </c>
      <c r="I127" s="5"/>
      <c r="J127" s="3" t="s">
        <v>425</v>
      </c>
      <c r="K127" s="12" t="s">
        <v>425</v>
      </c>
      <c r="L127" s="3" t="s">
        <v>425</v>
      </c>
      <c r="M127" s="3" t="s">
        <v>425</v>
      </c>
      <c r="N127" s="3" t="s">
        <v>425</v>
      </c>
      <c r="O127" s="3" t="s">
        <v>425</v>
      </c>
      <c r="P127" s="3" t="s">
        <v>425</v>
      </c>
      <c r="Q127" s="3" t="s">
        <v>425</v>
      </c>
    </row>
    <row r="128" spans="1:17" x14ac:dyDescent="0.2">
      <c r="A128" s="15">
        <f t="shared" si="1"/>
        <v>126</v>
      </c>
      <c r="B128" s="3" t="s">
        <v>63</v>
      </c>
      <c r="C128" s="3" t="str">
        <f>VLOOKUP(B128,Listas!A$3:C$30,3,0)</f>
        <v>Secretaria Municipal de Educação</v>
      </c>
      <c r="D128" s="3" t="str">
        <f>VLOOKUP(B128,Listas!A$3:C$30,2,0)</f>
        <v>18101</v>
      </c>
      <c r="E128" s="13" t="s">
        <v>247</v>
      </c>
      <c r="F128" s="3" t="s">
        <v>425</v>
      </c>
      <c r="G128" s="3" t="s">
        <v>425</v>
      </c>
      <c r="H128" s="5" t="s">
        <v>425</v>
      </c>
      <c r="I128" s="5"/>
      <c r="J128" s="3" t="s">
        <v>425</v>
      </c>
      <c r="K128" s="12" t="s">
        <v>425</v>
      </c>
      <c r="L128" s="3" t="s">
        <v>425</v>
      </c>
      <c r="M128" s="3" t="s">
        <v>425</v>
      </c>
      <c r="N128" s="3" t="s">
        <v>425</v>
      </c>
      <c r="O128" s="3" t="s">
        <v>425</v>
      </c>
      <c r="P128" s="3" t="s">
        <v>425</v>
      </c>
      <c r="Q128" s="3" t="s">
        <v>425</v>
      </c>
    </row>
    <row r="129" spans="1:17" x14ac:dyDescent="0.2">
      <c r="A129" s="15">
        <f t="shared" si="1"/>
        <v>127</v>
      </c>
      <c r="B129" s="3" t="s">
        <v>63</v>
      </c>
      <c r="C129" s="3" t="str">
        <f>VLOOKUP(B129,Listas!A$3:C$30,3,0)</f>
        <v>Secretaria Municipal de Educação</v>
      </c>
      <c r="D129" s="3" t="str">
        <f>VLOOKUP(B129,Listas!A$3:C$30,2,0)</f>
        <v>18101</v>
      </c>
      <c r="E129" s="13" t="s">
        <v>248</v>
      </c>
      <c r="F129" s="3" t="s">
        <v>425</v>
      </c>
      <c r="G129" s="3" t="s">
        <v>425</v>
      </c>
      <c r="H129" s="5" t="s">
        <v>425</v>
      </c>
      <c r="I129" s="5"/>
      <c r="J129" s="3" t="s">
        <v>425</v>
      </c>
      <c r="K129" s="12" t="s">
        <v>425</v>
      </c>
      <c r="L129" s="3" t="s">
        <v>425</v>
      </c>
      <c r="M129" s="3" t="s">
        <v>425</v>
      </c>
      <c r="N129" s="3" t="s">
        <v>425</v>
      </c>
      <c r="O129" s="3" t="s">
        <v>425</v>
      </c>
      <c r="P129" s="3" t="s">
        <v>425</v>
      </c>
      <c r="Q129" s="3" t="s">
        <v>425</v>
      </c>
    </row>
    <row r="130" spans="1:17" x14ac:dyDescent="0.2">
      <c r="A130" s="15">
        <f t="shared" si="1"/>
        <v>128</v>
      </c>
      <c r="B130" s="3" t="s">
        <v>63</v>
      </c>
      <c r="C130" s="3" t="str">
        <f>VLOOKUP(B130,Listas!A$3:C$30,3,0)</f>
        <v>Secretaria Municipal de Educação</v>
      </c>
      <c r="D130" s="3" t="str">
        <f>VLOOKUP(B130,Listas!A$3:C$30,2,0)</f>
        <v>18101</v>
      </c>
      <c r="E130" s="13" t="s">
        <v>249</v>
      </c>
      <c r="F130" s="3" t="s">
        <v>425</v>
      </c>
      <c r="G130" s="3" t="s">
        <v>425</v>
      </c>
      <c r="H130" s="5" t="s">
        <v>425</v>
      </c>
      <c r="I130" s="5"/>
      <c r="J130" s="3" t="s">
        <v>425</v>
      </c>
      <c r="K130" s="12" t="s">
        <v>425</v>
      </c>
      <c r="L130" s="3" t="s">
        <v>425</v>
      </c>
      <c r="M130" s="3" t="s">
        <v>425</v>
      </c>
      <c r="N130" s="3" t="s">
        <v>425</v>
      </c>
      <c r="O130" s="3" t="s">
        <v>425</v>
      </c>
      <c r="P130" s="3" t="s">
        <v>425</v>
      </c>
      <c r="Q130" s="3" t="s">
        <v>425</v>
      </c>
    </row>
    <row r="131" spans="1:17" x14ac:dyDescent="0.2">
      <c r="A131" s="15">
        <f t="shared" si="1"/>
        <v>129</v>
      </c>
      <c r="B131" s="3" t="s">
        <v>63</v>
      </c>
      <c r="C131" s="3" t="str">
        <f>VLOOKUP(B131,Listas!A$3:C$30,3,0)</f>
        <v>Secretaria Municipal de Educação</v>
      </c>
      <c r="D131" s="3" t="str">
        <f>VLOOKUP(B131,Listas!A$3:C$30,2,0)</f>
        <v>18101</v>
      </c>
      <c r="E131" s="13" t="s">
        <v>250</v>
      </c>
      <c r="F131" s="3" t="s">
        <v>425</v>
      </c>
      <c r="G131" s="3" t="s">
        <v>425</v>
      </c>
      <c r="H131" s="5" t="s">
        <v>425</v>
      </c>
      <c r="I131" s="5"/>
      <c r="J131" s="3" t="s">
        <v>425</v>
      </c>
      <c r="K131" s="12" t="s">
        <v>425</v>
      </c>
      <c r="L131" s="3" t="s">
        <v>425</v>
      </c>
      <c r="M131" s="3" t="s">
        <v>425</v>
      </c>
      <c r="N131" s="3" t="s">
        <v>425</v>
      </c>
      <c r="O131" s="3" t="s">
        <v>425</v>
      </c>
      <c r="P131" s="3" t="s">
        <v>425</v>
      </c>
      <c r="Q131" s="3" t="s">
        <v>425</v>
      </c>
    </row>
    <row r="132" spans="1:17" x14ac:dyDescent="0.2">
      <c r="A132" s="15">
        <f t="shared" si="1"/>
        <v>130</v>
      </c>
      <c r="B132" s="3" t="s">
        <v>63</v>
      </c>
      <c r="C132" s="3" t="str">
        <f>VLOOKUP(B132,Listas!A$3:C$30,3,0)</f>
        <v>Secretaria Municipal de Educação</v>
      </c>
      <c r="D132" s="3" t="str">
        <f>VLOOKUP(B132,Listas!A$3:C$30,2,0)</f>
        <v>18101</v>
      </c>
      <c r="E132" s="13" t="s">
        <v>251</v>
      </c>
      <c r="F132" s="3" t="s">
        <v>425</v>
      </c>
      <c r="G132" s="3" t="s">
        <v>425</v>
      </c>
      <c r="H132" s="5" t="s">
        <v>425</v>
      </c>
      <c r="I132" s="5"/>
      <c r="J132" s="3" t="s">
        <v>425</v>
      </c>
      <c r="K132" s="12" t="s">
        <v>425</v>
      </c>
      <c r="L132" s="3" t="s">
        <v>425</v>
      </c>
      <c r="M132" s="3" t="s">
        <v>425</v>
      </c>
      <c r="N132" s="3" t="s">
        <v>425</v>
      </c>
      <c r="O132" s="3" t="s">
        <v>425</v>
      </c>
      <c r="P132" s="3" t="s">
        <v>425</v>
      </c>
      <c r="Q132" s="3" t="s">
        <v>425</v>
      </c>
    </row>
    <row r="133" spans="1:17" x14ac:dyDescent="0.2">
      <c r="A133" s="15">
        <f t="shared" ref="A133:A196" si="2">A132+1</f>
        <v>131</v>
      </c>
      <c r="B133" s="3" t="s">
        <v>63</v>
      </c>
      <c r="C133" s="3" t="str">
        <f>VLOOKUP(B133,Listas!A$3:C$30,3,0)</f>
        <v>Secretaria Municipal de Educação</v>
      </c>
      <c r="D133" s="3" t="str">
        <f>VLOOKUP(B133,Listas!A$3:C$30,2,0)</f>
        <v>18101</v>
      </c>
      <c r="E133" s="13" t="s">
        <v>252</v>
      </c>
      <c r="F133" s="3" t="s">
        <v>425</v>
      </c>
      <c r="G133" s="3" t="s">
        <v>425</v>
      </c>
      <c r="H133" s="5" t="s">
        <v>425</v>
      </c>
      <c r="I133" s="5"/>
      <c r="J133" s="3" t="s">
        <v>425</v>
      </c>
      <c r="K133" s="12" t="s">
        <v>425</v>
      </c>
      <c r="L133" s="3" t="s">
        <v>425</v>
      </c>
      <c r="M133" s="3" t="s">
        <v>425</v>
      </c>
      <c r="N133" s="3" t="s">
        <v>425</v>
      </c>
      <c r="O133" s="3" t="s">
        <v>425</v>
      </c>
      <c r="P133" s="3" t="s">
        <v>425</v>
      </c>
      <c r="Q133" s="3" t="s">
        <v>425</v>
      </c>
    </row>
    <row r="134" spans="1:17" x14ac:dyDescent="0.2">
      <c r="A134" s="15">
        <f t="shared" si="2"/>
        <v>132</v>
      </c>
      <c r="B134" s="3" t="s">
        <v>63</v>
      </c>
      <c r="C134" s="3" t="str">
        <f>VLOOKUP(B134,Listas!A$3:C$30,3,0)</f>
        <v>Secretaria Municipal de Educação</v>
      </c>
      <c r="D134" s="3" t="str">
        <f>VLOOKUP(B134,Listas!A$3:C$30,2,0)</f>
        <v>18101</v>
      </c>
      <c r="E134" s="13" t="s">
        <v>253</v>
      </c>
      <c r="F134" s="3" t="s">
        <v>425</v>
      </c>
      <c r="G134" s="3" t="s">
        <v>425</v>
      </c>
      <c r="H134" s="5" t="s">
        <v>425</v>
      </c>
      <c r="I134" s="5"/>
      <c r="J134" s="3" t="s">
        <v>425</v>
      </c>
      <c r="K134" s="12" t="s">
        <v>425</v>
      </c>
      <c r="L134" s="3" t="s">
        <v>425</v>
      </c>
      <c r="M134" s="3" t="s">
        <v>425</v>
      </c>
      <c r="N134" s="3" t="s">
        <v>425</v>
      </c>
      <c r="O134" s="3" t="s">
        <v>425</v>
      </c>
      <c r="P134" s="3" t="s">
        <v>425</v>
      </c>
      <c r="Q134" s="3" t="s">
        <v>425</v>
      </c>
    </row>
    <row r="135" spans="1:17" x14ac:dyDescent="0.2">
      <c r="A135" s="15">
        <f t="shared" si="2"/>
        <v>133</v>
      </c>
      <c r="B135" s="3" t="s">
        <v>63</v>
      </c>
      <c r="C135" s="3" t="str">
        <f>VLOOKUP(B135,Listas!A$3:C$30,3,0)</f>
        <v>Secretaria Municipal de Educação</v>
      </c>
      <c r="D135" s="3" t="str">
        <f>VLOOKUP(B135,Listas!A$3:C$30,2,0)</f>
        <v>18101</v>
      </c>
      <c r="E135" s="13" t="s">
        <v>254</v>
      </c>
      <c r="F135" s="3" t="s">
        <v>425</v>
      </c>
      <c r="G135" s="3" t="s">
        <v>425</v>
      </c>
      <c r="H135" s="5" t="s">
        <v>425</v>
      </c>
      <c r="I135" s="5"/>
      <c r="J135" s="3" t="s">
        <v>425</v>
      </c>
      <c r="K135" s="12" t="s">
        <v>425</v>
      </c>
      <c r="L135" s="3" t="s">
        <v>425</v>
      </c>
      <c r="M135" s="3" t="s">
        <v>425</v>
      </c>
      <c r="N135" s="3" t="s">
        <v>425</v>
      </c>
      <c r="O135" s="3" t="s">
        <v>425</v>
      </c>
      <c r="P135" s="3" t="s">
        <v>425</v>
      </c>
      <c r="Q135" s="3" t="s">
        <v>425</v>
      </c>
    </row>
    <row r="136" spans="1:17" x14ac:dyDescent="0.2">
      <c r="A136" s="15">
        <f t="shared" si="2"/>
        <v>134</v>
      </c>
      <c r="B136" s="3" t="s">
        <v>63</v>
      </c>
      <c r="C136" s="3" t="str">
        <f>VLOOKUP(B136,Listas!A$3:C$30,3,0)</f>
        <v>Secretaria Municipal de Educação</v>
      </c>
      <c r="D136" s="3" t="str">
        <f>VLOOKUP(B136,Listas!A$3:C$30,2,0)</f>
        <v>18101</v>
      </c>
      <c r="E136" s="13" t="s">
        <v>255</v>
      </c>
      <c r="F136" s="3" t="s">
        <v>425</v>
      </c>
      <c r="G136" s="3" t="s">
        <v>425</v>
      </c>
      <c r="H136" s="5" t="s">
        <v>425</v>
      </c>
      <c r="I136" s="5"/>
      <c r="J136" s="3" t="s">
        <v>425</v>
      </c>
      <c r="K136" s="12" t="s">
        <v>425</v>
      </c>
      <c r="L136" s="3" t="s">
        <v>425</v>
      </c>
      <c r="M136" s="3" t="s">
        <v>425</v>
      </c>
      <c r="N136" s="3" t="s">
        <v>425</v>
      </c>
      <c r="O136" s="3" t="s">
        <v>425</v>
      </c>
      <c r="P136" s="3" t="s">
        <v>425</v>
      </c>
      <c r="Q136" s="3" t="s">
        <v>425</v>
      </c>
    </row>
    <row r="137" spans="1:17" x14ac:dyDescent="0.2">
      <c r="A137" s="15">
        <f t="shared" si="2"/>
        <v>135</v>
      </c>
      <c r="B137" s="3" t="s">
        <v>63</v>
      </c>
      <c r="C137" s="3" t="str">
        <f>VLOOKUP(B137,Listas!A$3:C$30,3,0)</f>
        <v>Secretaria Municipal de Educação</v>
      </c>
      <c r="D137" s="3" t="str">
        <f>VLOOKUP(B137,Listas!A$3:C$30,2,0)</f>
        <v>18101</v>
      </c>
      <c r="E137" s="13" t="s">
        <v>256</v>
      </c>
      <c r="F137" s="3" t="s">
        <v>425</v>
      </c>
      <c r="G137" s="3" t="s">
        <v>425</v>
      </c>
      <c r="H137" s="5" t="s">
        <v>425</v>
      </c>
      <c r="I137" s="5"/>
      <c r="J137" s="3" t="s">
        <v>425</v>
      </c>
      <c r="K137" s="12" t="s">
        <v>425</v>
      </c>
      <c r="L137" s="3" t="s">
        <v>425</v>
      </c>
      <c r="M137" s="3" t="s">
        <v>425</v>
      </c>
      <c r="N137" s="3" t="s">
        <v>425</v>
      </c>
      <c r="O137" s="3" t="s">
        <v>425</v>
      </c>
      <c r="P137" s="3" t="s">
        <v>425</v>
      </c>
      <c r="Q137" s="3" t="s">
        <v>425</v>
      </c>
    </row>
    <row r="138" spans="1:17" x14ac:dyDescent="0.2">
      <c r="A138" s="15">
        <f t="shared" si="2"/>
        <v>136</v>
      </c>
      <c r="B138" s="3" t="s">
        <v>63</v>
      </c>
      <c r="C138" s="3" t="str">
        <f>VLOOKUP(B138,Listas!A$3:C$30,3,0)</f>
        <v>Secretaria Municipal de Educação</v>
      </c>
      <c r="D138" s="3" t="str">
        <f>VLOOKUP(B138,Listas!A$3:C$30,2,0)</f>
        <v>18101</v>
      </c>
      <c r="E138" s="13" t="s">
        <v>257</v>
      </c>
      <c r="F138" s="3" t="s">
        <v>425</v>
      </c>
      <c r="G138" s="3" t="s">
        <v>425</v>
      </c>
      <c r="H138" s="5" t="s">
        <v>425</v>
      </c>
      <c r="I138" s="5"/>
      <c r="J138" s="3" t="s">
        <v>425</v>
      </c>
      <c r="K138" s="12" t="s">
        <v>425</v>
      </c>
      <c r="L138" s="3" t="s">
        <v>425</v>
      </c>
      <c r="M138" s="3" t="s">
        <v>425</v>
      </c>
      <c r="N138" s="3" t="s">
        <v>425</v>
      </c>
      <c r="O138" s="3" t="s">
        <v>425</v>
      </c>
      <c r="P138" s="3" t="s">
        <v>425</v>
      </c>
      <c r="Q138" s="3" t="s">
        <v>425</v>
      </c>
    </row>
    <row r="139" spans="1:17" x14ac:dyDescent="0.2">
      <c r="A139" s="15">
        <f t="shared" si="2"/>
        <v>137</v>
      </c>
      <c r="B139" s="3" t="s">
        <v>63</v>
      </c>
      <c r="C139" s="3" t="str">
        <f>VLOOKUP(B139,Listas!A$3:C$30,3,0)</f>
        <v>Secretaria Municipal de Educação</v>
      </c>
      <c r="D139" s="3" t="str">
        <f>VLOOKUP(B139,Listas!A$3:C$30,2,0)</f>
        <v>18101</v>
      </c>
      <c r="E139" s="13" t="s">
        <v>258</v>
      </c>
      <c r="F139" s="3" t="s">
        <v>425</v>
      </c>
      <c r="G139" s="3" t="s">
        <v>425</v>
      </c>
      <c r="H139" s="5" t="s">
        <v>425</v>
      </c>
      <c r="I139" s="5"/>
      <c r="J139" s="3" t="s">
        <v>425</v>
      </c>
      <c r="K139" s="12" t="s">
        <v>425</v>
      </c>
      <c r="L139" s="3" t="s">
        <v>425</v>
      </c>
      <c r="M139" s="3" t="s">
        <v>425</v>
      </c>
      <c r="N139" s="3" t="s">
        <v>425</v>
      </c>
      <c r="O139" s="3" t="s">
        <v>425</v>
      </c>
      <c r="P139" s="3" t="s">
        <v>425</v>
      </c>
      <c r="Q139" s="3" t="s">
        <v>425</v>
      </c>
    </row>
    <row r="140" spans="1:17" x14ac:dyDescent="0.2">
      <c r="A140" s="15">
        <f t="shared" si="2"/>
        <v>138</v>
      </c>
      <c r="B140" s="3" t="s">
        <v>63</v>
      </c>
      <c r="C140" s="3" t="str">
        <f>VLOOKUP(B140,Listas!A$3:C$30,3,0)</f>
        <v>Secretaria Municipal de Educação</v>
      </c>
      <c r="D140" s="3" t="str">
        <f>VLOOKUP(B140,Listas!A$3:C$30,2,0)</f>
        <v>18101</v>
      </c>
      <c r="E140" s="13" t="s">
        <v>259</v>
      </c>
      <c r="F140" s="3" t="s">
        <v>425</v>
      </c>
      <c r="G140" s="3" t="s">
        <v>425</v>
      </c>
      <c r="H140" s="5" t="s">
        <v>425</v>
      </c>
      <c r="I140" s="5"/>
      <c r="J140" s="3" t="s">
        <v>425</v>
      </c>
      <c r="K140" s="12" t="s">
        <v>425</v>
      </c>
      <c r="L140" s="3" t="s">
        <v>425</v>
      </c>
      <c r="M140" s="3" t="s">
        <v>425</v>
      </c>
      <c r="N140" s="3" t="s">
        <v>425</v>
      </c>
      <c r="O140" s="3" t="s">
        <v>425</v>
      </c>
      <c r="P140" s="3" t="s">
        <v>425</v>
      </c>
      <c r="Q140" s="3" t="s">
        <v>425</v>
      </c>
    </row>
    <row r="141" spans="1:17" x14ac:dyDescent="0.2">
      <c r="A141" s="15">
        <f t="shared" si="2"/>
        <v>139</v>
      </c>
      <c r="B141" s="3" t="s">
        <v>63</v>
      </c>
      <c r="C141" s="3" t="str">
        <f>VLOOKUP(B141,Listas!A$3:C$30,3,0)</f>
        <v>Secretaria Municipal de Educação</v>
      </c>
      <c r="D141" s="3" t="str">
        <f>VLOOKUP(B141,Listas!A$3:C$30,2,0)</f>
        <v>18101</v>
      </c>
      <c r="E141" s="13" t="s">
        <v>260</v>
      </c>
      <c r="F141" s="3" t="s">
        <v>425</v>
      </c>
      <c r="G141" s="3" t="s">
        <v>425</v>
      </c>
      <c r="H141" s="5" t="s">
        <v>425</v>
      </c>
      <c r="I141" s="5"/>
      <c r="J141" s="3" t="s">
        <v>425</v>
      </c>
      <c r="K141" s="12" t="s">
        <v>425</v>
      </c>
      <c r="L141" s="3" t="s">
        <v>425</v>
      </c>
      <c r="M141" s="3" t="s">
        <v>425</v>
      </c>
      <c r="N141" s="3" t="s">
        <v>425</v>
      </c>
      <c r="O141" s="3" t="s">
        <v>425</v>
      </c>
      <c r="P141" s="3" t="s">
        <v>425</v>
      </c>
      <c r="Q141" s="3" t="s">
        <v>425</v>
      </c>
    </row>
    <row r="142" spans="1:17" x14ac:dyDescent="0.2">
      <c r="A142" s="15">
        <f t="shared" si="2"/>
        <v>140</v>
      </c>
      <c r="B142" s="3" t="s">
        <v>63</v>
      </c>
      <c r="C142" s="3" t="str">
        <f>VLOOKUP(B142,Listas!A$3:C$30,3,0)</f>
        <v>Secretaria Municipal de Educação</v>
      </c>
      <c r="D142" s="3" t="str">
        <f>VLOOKUP(B142,Listas!A$3:C$30,2,0)</f>
        <v>18101</v>
      </c>
      <c r="E142" s="13" t="s">
        <v>261</v>
      </c>
      <c r="F142" s="3" t="s">
        <v>425</v>
      </c>
      <c r="G142" s="3" t="s">
        <v>425</v>
      </c>
      <c r="H142" s="5" t="s">
        <v>425</v>
      </c>
      <c r="I142" s="5"/>
      <c r="J142" s="3" t="s">
        <v>425</v>
      </c>
      <c r="K142" s="12" t="s">
        <v>425</v>
      </c>
      <c r="L142" s="3" t="s">
        <v>425</v>
      </c>
      <c r="M142" s="3" t="s">
        <v>425</v>
      </c>
      <c r="N142" s="3" t="s">
        <v>425</v>
      </c>
      <c r="O142" s="3" t="s">
        <v>425</v>
      </c>
      <c r="P142" s="3" t="s">
        <v>425</v>
      </c>
      <c r="Q142" s="3" t="s">
        <v>425</v>
      </c>
    </row>
    <row r="143" spans="1:17" x14ac:dyDescent="0.2">
      <c r="A143" s="15">
        <f t="shared" si="2"/>
        <v>141</v>
      </c>
      <c r="B143" s="3" t="s">
        <v>63</v>
      </c>
      <c r="C143" s="3" t="str">
        <f>VLOOKUP(B143,Listas!A$3:C$30,3,0)</f>
        <v>Secretaria Municipal de Educação</v>
      </c>
      <c r="D143" s="3" t="str">
        <f>VLOOKUP(B143,Listas!A$3:C$30,2,0)</f>
        <v>18101</v>
      </c>
      <c r="E143" s="13" t="s">
        <v>262</v>
      </c>
      <c r="F143" s="3" t="s">
        <v>425</v>
      </c>
      <c r="G143" s="3" t="s">
        <v>425</v>
      </c>
      <c r="H143" s="5" t="s">
        <v>425</v>
      </c>
      <c r="I143" s="5"/>
      <c r="J143" s="3" t="s">
        <v>425</v>
      </c>
      <c r="K143" s="12" t="s">
        <v>425</v>
      </c>
      <c r="L143" s="3" t="s">
        <v>425</v>
      </c>
      <c r="M143" s="3" t="s">
        <v>425</v>
      </c>
      <c r="N143" s="3" t="s">
        <v>425</v>
      </c>
      <c r="O143" s="3" t="s">
        <v>425</v>
      </c>
      <c r="P143" s="3" t="s">
        <v>425</v>
      </c>
      <c r="Q143" s="3" t="s">
        <v>425</v>
      </c>
    </row>
    <row r="144" spans="1:17" x14ac:dyDescent="0.2">
      <c r="A144" s="15">
        <f t="shared" si="2"/>
        <v>142</v>
      </c>
      <c r="B144" s="3" t="s">
        <v>63</v>
      </c>
      <c r="C144" s="3" t="str">
        <f>VLOOKUP(B144,Listas!A$3:C$30,3,0)</f>
        <v>Secretaria Municipal de Educação</v>
      </c>
      <c r="D144" s="3" t="str">
        <f>VLOOKUP(B144,Listas!A$3:C$30,2,0)</f>
        <v>18101</v>
      </c>
      <c r="E144" s="13" t="s">
        <v>263</v>
      </c>
      <c r="F144" s="3" t="s">
        <v>425</v>
      </c>
      <c r="G144" s="3" t="s">
        <v>425</v>
      </c>
      <c r="H144" s="5" t="s">
        <v>425</v>
      </c>
      <c r="I144" s="5"/>
      <c r="J144" s="3" t="s">
        <v>425</v>
      </c>
      <c r="K144" s="12" t="s">
        <v>425</v>
      </c>
      <c r="L144" s="3" t="s">
        <v>425</v>
      </c>
      <c r="M144" s="3" t="s">
        <v>425</v>
      </c>
      <c r="N144" s="3" t="s">
        <v>425</v>
      </c>
      <c r="O144" s="3" t="s">
        <v>425</v>
      </c>
      <c r="P144" s="3" t="s">
        <v>425</v>
      </c>
      <c r="Q144" s="3" t="s">
        <v>425</v>
      </c>
    </row>
    <row r="145" spans="1:17" x14ac:dyDescent="0.2">
      <c r="A145" s="15">
        <f t="shared" si="2"/>
        <v>143</v>
      </c>
      <c r="B145" s="3" t="s">
        <v>63</v>
      </c>
      <c r="C145" s="3" t="str">
        <f>VLOOKUP(B145,Listas!A$3:C$30,3,0)</f>
        <v>Secretaria Municipal de Educação</v>
      </c>
      <c r="D145" s="3" t="str">
        <f>VLOOKUP(B145,Listas!A$3:C$30,2,0)</f>
        <v>18101</v>
      </c>
      <c r="E145" s="13" t="s">
        <v>264</v>
      </c>
      <c r="F145" s="3" t="s">
        <v>425</v>
      </c>
      <c r="G145" s="3" t="s">
        <v>425</v>
      </c>
      <c r="H145" s="5" t="s">
        <v>425</v>
      </c>
      <c r="I145" s="5"/>
      <c r="J145" s="3" t="s">
        <v>425</v>
      </c>
      <c r="K145" s="12" t="s">
        <v>425</v>
      </c>
      <c r="L145" s="3" t="s">
        <v>425</v>
      </c>
      <c r="M145" s="3" t="s">
        <v>425</v>
      </c>
      <c r="N145" s="3" t="s">
        <v>425</v>
      </c>
      <c r="O145" s="3" t="s">
        <v>425</v>
      </c>
      <c r="P145" s="3" t="s">
        <v>425</v>
      </c>
      <c r="Q145" s="3" t="s">
        <v>425</v>
      </c>
    </row>
    <row r="146" spans="1:17" x14ac:dyDescent="0.2">
      <c r="A146" s="15">
        <f t="shared" si="2"/>
        <v>144</v>
      </c>
      <c r="B146" s="3" t="s">
        <v>63</v>
      </c>
      <c r="C146" s="3" t="str">
        <f>VLOOKUP(B146,Listas!A$3:C$30,3,0)</f>
        <v>Secretaria Municipal de Educação</v>
      </c>
      <c r="D146" s="3" t="str">
        <f>VLOOKUP(B146,Listas!A$3:C$30,2,0)</f>
        <v>18101</v>
      </c>
      <c r="E146" s="13" t="s">
        <v>265</v>
      </c>
      <c r="F146" s="3" t="s">
        <v>425</v>
      </c>
      <c r="G146" s="3" t="s">
        <v>425</v>
      </c>
      <c r="H146" s="5" t="s">
        <v>425</v>
      </c>
      <c r="I146" s="5"/>
      <c r="J146" s="3" t="s">
        <v>425</v>
      </c>
      <c r="K146" s="12" t="s">
        <v>425</v>
      </c>
      <c r="L146" s="3" t="s">
        <v>425</v>
      </c>
      <c r="M146" s="3" t="s">
        <v>425</v>
      </c>
      <c r="N146" s="3" t="s">
        <v>425</v>
      </c>
      <c r="O146" s="3" t="s">
        <v>425</v>
      </c>
      <c r="P146" s="3" t="s">
        <v>425</v>
      </c>
      <c r="Q146" s="3" t="s">
        <v>425</v>
      </c>
    </row>
    <row r="147" spans="1:17" x14ac:dyDescent="0.2">
      <c r="A147" s="15">
        <f t="shared" si="2"/>
        <v>145</v>
      </c>
      <c r="B147" s="3" t="s">
        <v>63</v>
      </c>
      <c r="C147" s="3" t="str">
        <f>VLOOKUP(B147,Listas!A$3:C$30,3,0)</f>
        <v>Secretaria Municipal de Educação</v>
      </c>
      <c r="D147" s="3" t="str">
        <f>VLOOKUP(B147,Listas!A$3:C$30,2,0)</f>
        <v>18101</v>
      </c>
      <c r="E147" s="13" t="s">
        <v>266</v>
      </c>
      <c r="F147" s="3" t="s">
        <v>425</v>
      </c>
      <c r="G147" s="3" t="s">
        <v>425</v>
      </c>
      <c r="H147" s="5" t="s">
        <v>425</v>
      </c>
      <c r="I147" s="5"/>
      <c r="J147" s="3" t="s">
        <v>425</v>
      </c>
      <c r="K147" s="12" t="s">
        <v>425</v>
      </c>
      <c r="L147" s="3" t="s">
        <v>425</v>
      </c>
      <c r="M147" s="3" t="s">
        <v>425</v>
      </c>
      <c r="N147" s="3" t="s">
        <v>425</v>
      </c>
      <c r="O147" s="3" t="s">
        <v>425</v>
      </c>
      <c r="P147" s="3" t="s">
        <v>425</v>
      </c>
      <c r="Q147" s="3" t="s">
        <v>425</v>
      </c>
    </row>
    <row r="148" spans="1:17" x14ac:dyDescent="0.2">
      <c r="A148" s="15">
        <f t="shared" si="2"/>
        <v>146</v>
      </c>
      <c r="B148" s="3" t="s">
        <v>63</v>
      </c>
      <c r="C148" s="3" t="str">
        <f>VLOOKUP(B148,Listas!A$3:C$30,3,0)</f>
        <v>Secretaria Municipal de Educação</v>
      </c>
      <c r="D148" s="3" t="str">
        <f>VLOOKUP(B148,Listas!A$3:C$30,2,0)</f>
        <v>18101</v>
      </c>
      <c r="E148" s="13" t="s">
        <v>267</v>
      </c>
      <c r="F148" s="3" t="s">
        <v>425</v>
      </c>
      <c r="G148" s="3" t="s">
        <v>425</v>
      </c>
      <c r="H148" s="5" t="s">
        <v>425</v>
      </c>
      <c r="I148" s="5"/>
      <c r="J148" s="3" t="s">
        <v>425</v>
      </c>
      <c r="K148" s="12" t="s">
        <v>425</v>
      </c>
      <c r="L148" s="3" t="s">
        <v>425</v>
      </c>
      <c r="M148" s="3" t="s">
        <v>425</v>
      </c>
      <c r="N148" s="3" t="s">
        <v>425</v>
      </c>
      <c r="O148" s="3" t="s">
        <v>425</v>
      </c>
      <c r="P148" s="3" t="s">
        <v>425</v>
      </c>
      <c r="Q148" s="3" t="s">
        <v>425</v>
      </c>
    </row>
    <row r="149" spans="1:17" x14ac:dyDescent="0.2">
      <c r="A149" s="15">
        <f t="shared" si="2"/>
        <v>147</v>
      </c>
      <c r="B149" s="3" t="s">
        <v>63</v>
      </c>
      <c r="C149" s="3" t="str">
        <f>VLOOKUP(B149,Listas!A$3:C$30,3,0)</f>
        <v>Secretaria Municipal de Educação</v>
      </c>
      <c r="D149" s="3" t="str">
        <f>VLOOKUP(B149,Listas!A$3:C$30,2,0)</f>
        <v>18101</v>
      </c>
      <c r="E149" s="13" t="s">
        <v>268</v>
      </c>
      <c r="F149" s="3" t="s">
        <v>425</v>
      </c>
      <c r="G149" s="3" t="s">
        <v>425</v>
      </c>
      <c r="H149" s="5" t="s">
        <v>425</v>
      </c>
      <c r="I149" s="5"/>
      <c r="J149" s="3" t="s">
        <v>425</v>
      </c>
      <c r="K149" s="12" t="s">
        <v>425</v>
      </c>
      <c r="L149" s="3" t="s">
        <v>425</v>
      </c>
      <c r="M149" s="3" t="s">
        <v>425</v>
      </c>
      <c r="N149" s="3" t="s">
        <v>425</v>
      </c>
      <c r="O149" s="3" t="s">
        <v>425</v>
      </c>
      <c r="P149" s="3" t="s">
        <v>425</v>
      </c>
      <c r="Q149" s="3" t="s">
        <v>425</v>
      </c>
    </row>
    <row r="150" spans="1:17" x14ac:dyDescent="0.2">
      <c r="A150" s="15">
        <f t="shared" si="2"/>
        <v>148</v>
      </c>
      <c r="B150" s="3" t="s">
        <v>63</v>
      </c>
      <c r="C150" s="3" t="str">
        <f>VLOOKUP(B150,Listas!A$3:C$30,3,0)</f>
        <v>Secretaria Municipal de Educação</v>
      </c>
      <c r="D150" s="3" t="str">
        <f>VLOOKUP(B150,Listas!A$3:C$30,2,0)</f>
        <v>18101</v>
      </c>
      <c r="E150" s="13" t="s">
        <v>269</v>
      </c>
      <c r="F150" s="3" t="s">
        <v>425</v>
      </c>
      <c r="G150" s="3" t="s">
        <v>425</v>
      </c>
      <c r="H150" s="5" t="s">
        <v>425</v>
      </c>
      <c r="I150" s="5"/>
      <c r="J150" s="3" t="s">
        <v>425</v>
      </c>
      <c r="K150" s="12" t="s">
        <v>425</v>
      </c>
      <c r="L150" s="3" t="s">
        <v>425</v>
      </c>
      <c r="M150" s="3" t="s">
        <v>425</v>
      </c>
      <c r="N150" s="3" t="s">
        <v>425</v>
      </c>
      <c r="O150" s="3" t="s">
        <v>425</v>
      </c>
      <c r="P150" s="3" t="s">
        <v>425</v>
      </c>
      <c r="Q150" s="3" t="s">
        <v>425</v>
      </c>
    </row>
    <row r="151" spans="1:17" x14ac:dyDescent="0.2">
      <c r="A151" s="15">
        <f t="shared" si="2"/>
        <v>149</v>
      </c>
      <c r="B151" s="3" t="s">
        <v>63</v>
      </c>
      <c r="C151" s="3" t="str">
        <f>VLOOKUP(B151,Listas!A$3:C$30,3,0)</f>
        <v>Secretaria Municipal de Educação</v>
      </c>
      <c r="D151" s="3" t="str">
        <f>VLOOKUP(B151,Listas!A$3:C$30,2,0)</f>
        <v>18101</v>
      </c>
      <c r="E151" s="13" t="s">
        <v>270</v>
      </c>
      <c r="F151" s="3" t="s">
        <v>425</v>
      </c>
      <c r="G151" s="3" t="s">
        <v>425</v>
      </c>
      <c r="H151" s="5" t="s">
        <v>425</v>
      </c>
      <c r="I151" s="5"/>
      <c r="J151" s="3" t="s">
        <v>425</v>
      </c>
      <c r="K151" s="12" t="s">
        <v>425</v>
      </c>
      <c r="L151" s="3" t="s">
        <v>425</v>
      </c>
      <c r="M151" s="3" t="s">
        <v>425</v>
      </c>
      <c r="N151" s="3" t="s">
        <v>425</v>
      </c>
      <c r="O151" s="3" t="s">
        <v>425</v>
      </c>
      <c r="P151" s="3" t="s">
        <v>425</v>
      </c>
      <c r="Q151" s="3" t="s">
        <v>425</v>
      </c>
    </row>
    <row r="152" spans="1:17" x14ac:dyDescent="0.2">
      <c r="A152" s="15">
        <f t="shared" si="2"/>
        <v>150</v>
      </c>
      <c r="B152" s="3" t="s">
        <v>63</v>
      </c>
      <c r="C152" s="3" t="str">
        <f>VLOOKUP(B152,Listas!A$3:C$30,3,0)</f>
        <v>Secretaria Municipal de Educação</v>
      </c>
      <c r="D152" s="3" t="str">
        <f>VLOOKUP(B152,Listas!A$3:C$30,2,0)</f>
        <v>18101</v>
      </c>
      <c r="E152" s="13" t="s">
        <v>271</v>
      </c>
      <c r="F152" s="3" t="s">
        <v>425</v>
      </c>
      <c r="G152" s="3" t="s">
        <v>425</v>
      </c>
      <c r="H152" s="5" t="s">
        <v>425</v>
      </c>
      <c r="I152" s="5"/>
      <c r="J152" s="3" t="s">
        <v>425</v>
      </c>
      <c r="K152" s="12" t="s">
        <v>425</v>
      </c>
      <c r="L152" s="3" t="s">
        <v>425</v>
      </c>
      <c r="M152" s="3" t="s">
        <v>425</v>
      </c>
      <c r="N152" s="3" t="s">
        <v>425</v>
      </c>
      <c r="O152" s="3" t="s">
        <v>425</v>
      </c>
      <c r="P152" s="3" t="s">
        <v>425</v>
      </c>
      <c r="Q152" s="3" t="s">
        <v>425</v>
      </c>
    </row>
    <row r="153" spans="1:17" x14ac:dyDescent="0.2">
      <c r="A153" s="15">
        <f t="shared" si="2"/>
        <v>151</v>
      </c>
      <c r="B153" s="3" t="s">
        <v>63</v>
      </c>
      <c r="C153" s="3" t="str">
        <f>VLOOKUP(B153,Listas!A$3:C$30,3,0)</f>
        <v>Secretaria Municipal de Educação</v>
      </c>
      <c r="D153" s="3" t="str">
        <f>VLOOKUP(B153,Listas!A$3:C$30,2,0)</f>
        <v>18101</v>
      </c>
      <c r="E153" s="13" t="s">
        <v>272</v>
      </c>
      <c r="F153" s="3" t="s">
        <v>425</v>
      </c>
      <c r="G153" s="3" t="s">
        <v>425</v>
      </c>
      <c r="H153" s="5" t="s">
        <v>425</v>
      </c>
      <c r="I153" s="5"/>
      <c r="J153" s="3" t="s">
        <v>425</v>
      </c>
      <c r="K153" s="12" t="s">
        <v>425</v>
      </c>
      <c r="L153" s="3" t="s">
        <v>425</v>
      </c>
      <c r="M153" s="3" t="s">
        <v>425</v>
      </c>
      <c r="N153" s="3" t="s">
        <v>425</v>
      </c>
      <c r="O153" s="3" t="s">
        <v>425</v>
      </c>
      <c r="P153" s="3" t="s">
        <v>425</v>
      </c>
      <c r="Q153" s="3" t="s">
        <v>425</v>
      </c>
    </row>
    <row r="154" spans="1:17" x14ac:dyDescent="0.2">
      <c r="A154" s="15">
        <f t="shared" si="2"/>
        <v>152</v>
      </c>
      <c r="B154" s="3" t="s">
        <v>63</v>
      </c>
      <c r="C154" s="3" t="str">
        <f>VLOOKUP(B154,Listas!A$3:C$30,3,0)</f>
        <v>Secretaria Municipal de Educação</v>
      </c>
      <c r="D154" s="3" t="str">
        <f>VLOOKUP(B154,Listas!A$3:C$30,2,0)</f>
        <v>18101</v>
      </c>
      <c r="E154" s="13" t="s">
        <v>273</v>
      </c>
      <c r="F154" s="3" t="s">
        <v>425</v>
      </c>
      <c r="G154" s="3" t="s">
        <v>425</v>
      </c>
      <c r="H154" s="5" t="s">
        <v>425</v>
      </c>
      <c r="I154" s="5"/>
      <c r="J154" s="3" t="s">
        <v>425</v>
      </c>
      <c r="K154" s="12" t="s">
        <v>425</v>
      </c>
      <c r="L154" s="3" t="s">
        <v>425</v>
      </c>
      <c r="M154" s="3" t="s">
        <v>425</v>
      </c>
      <c r="N154" s="3" t="s">
        <v>425</v>
      </c>
      <c r="O154" s="3" t="s">
        <v>425</v>
      </c>
      <c r="P154" s="3" t="s">
        <v>425</v>
      </c>
      <c r="Q154" s="3" t="s">
        <v>425</v>
      </c>
    </row>
    <row r="155" spans="1:17" x14ac:dyDescent="0.2">
      <c r="A155" s="15">
        <f t="shared" si="2"/>
        <v>153</v>
      </c>
      <c r="B155" s="3" t="s">
        <v>63</v>
      </c>
      <c r="C155" s="3" t="str">
        <f>VLOOKUP(B155,Listas!A$3:C$30,3,0)</f>
        <v>Secretaria Municipal de Educação</v>
      </c>
      <c r="D155" s="3" t="str">
        <f>VLOOKUP(B155,Listas!A$3:C$30,2,0)</f>
        <v>18101</v>
      </c>
      <c r="E155" s="13" t="s">
        <v>274</v>
      </c>
      <c r="F155" s="3" t="s">
        <v>425</v>
      </c>
      <c r="G155" s="3" t="s">
        <v>425</v>
      </c>
      <c r="H155" s="5" t="s">
        <v>425</v>
      </c>
      <c r="I155" s="5"/>
      <c r="J155" s="3" t="s">
        <v>425</v>
      </c>
      <c r="K155" s="12" t="s">
        <v>425</v>
      </c>
      <c r="L155" s="3" t="s">
        <v>425</v>
      </c>
      <c r="M155" s="3" t="s">
        <v>425</v>
      </c>
      <c r="N155" s="3" t="s">
        <v>425</v>
      </c>
      <c r="O155" s="3" t="s">
        <v>425</v>
      </c>
      <c r="P155" s="3" t="s">
        <v>425</v>
      </c>
      <c r="Q155" s="3" t="s">
        <v>425</v>
      </c>
    </row>
    <row r="156" spans="1:17" x14ac:dyDescent="0.2">
      <c r="A156" s="15">
        <f t="shared" si="2"/>
        <v>154</v>
      </c>
      <c r="B156" s="3" t="s">
        <v>63</v>
      </c>
      <c r="C156" s="3" t="str">
        <f>VLOOKUP(B156,Listas!A$3:C$30,3,0)</f>
        <v>Secretaria Municipal de Educação</v>
      </c>
      <c r="D156" s="3" t="str">
        <f>VLOOKUP(B156,Listas!A$3:C$30,2,0)</f>
        <v>18101</v>
      </c>
      <c r="E156" s="13" t="s">
        <v>275</v>
      </c>
      <c r="F156" s="3" t="s">
        <v>425</v>
      </c>
      <c r="G156" s="3" t="s">
        <v>425</v>
      </c>
      <c r="H156" s="5" t="s">
        <v>425</v>
      </c>
      <c r="I156" s="5"/>
      <c r="J156" s="3" t="s">
        <v>425</v>
      </c>
      <c r="K156" s="12" t="s">
        <v>425</v>
      </c>
      <c r="L156" s="3" t="s">
        <v>425</v>
      </c>
      <c r="M156" s="3" t="s">
        <v>425</v>
      </c>
      <c r="N156" s="3" t="s">
        <v>425</v>
      </c>
      <c r="O156" s="3" t="s">
        <v>425</v>
      </c>
      <c r="P156" s="3" t="s">
        <v>425</v>
      </c>
      <c r="Q156" s="3" t="s">
        <v>425</v>
      </c>
    </row>
    <row r="157" spans="1:17" x14ac:dyDescent="0.2">
      <c r="A157" s="15">
        <f t="shared" si="2"/>
        <v>155</v>
      </c>
      <c r="B157" s="3" t="s">
        <v>63</v>
      </c>
      <c r="C157" s="3" t="str">
        <f>VLOOKUP(B157,Listas!A$3:C$30,3,0)</f>
        <v>Secretaria Municipal de Educação</v>
      </c>
      <c r="D157" s="3" t="str">
        <f>VLOOKUP(B157,Listas!A$3:C$30,2,0)</f>
        <v>18101</v>
      </c>
      <c r="E157" s="13" t="s">
        <v>276</v>
      </c>
      <c r="F157" s="3" t="s">
        <v>425</v>
      </c>
      <c r="G157" s="3" t="s">
        <v>425</v>
      </c>
      <c r="H157" s="5" t="s">
        <v>425</v>
      </c>
      <c r="I157" s="5"/>
      <c r="J157" s="3" t="s">
        <v>425</v>
      </c>
      <c r="K157" s="12" t="s">
        <v>425</v>
      </c>
      <c r="L157" s="3" t="s">
        <v>425</v>
      </c>
      <c r="M157" s="3" t="s">
        <v>425</v>
      </c>
      <c r="N157" s="3" t="s">
        <v>425</v>
      </c>
      <c r="O157" s="3" t="s">
        <v>425</v>
      </c>
      <c r="P157" s="3" t="s">
        <v>425</v>
      </c>
      <c r="Q157" s="3" t="s">
        <v>425</v>
      </c>
    </row>
    <row r="158" spans="1:17" x14ac:dyDescent="0.2">
      <c r="A158" s="15">
        <f t="shared" si="2"/>
        <v>156</v>
      </c>
      <c r="B158" s="3" t="s">
        <v>63</v>
      </c>
      <c r="C158" s="3" t="str">
        <f>VLOOKUP(B158,Listas!A$3:C$30,3,0)</f>
        <v>Secretaria Municipal de Educação</v>
      </c>
      <c r="D158" s="3" t="str">
        <f>VLOOKUP(B158,Listas!A$3:C$30,2,0)</f>
        <v>18101</v>
      </c>
      <c r="E158" s="13" t="s">
        <v>277</v>
      </c>
      <c r="F158" s="3" t="s">
        <v>425</v>
      </c>
      <c r="G158" s="3" t="s">
        <v>425</v>
      </c>
      <c r="H158" s="5" t="s">
        <v>425</v>
      </c>
      <c r="I158" s="5"/>
      <c r="J158" s="3" t="s">
        <v>425</v>
      </c>
      <c r="K158" s="12" t="s">
        <v>425</v>
      </c>
      <c r="L158" s="3" t="s">
        <v>425</v>
      </c>
      <c r="M158" s="3" t="s">
        <v>425</v>
      </c>
      <c r="N158" s="3" t="s">
        <v>425</v>
      </c>
      <c r="O158" s="3" t="s">
        <v>425</v>
      </c>
      <c r="P158" s="3" t="s">
        <v>425</v>
      </c>
      <c r="Q158" s="3" t="s">
        <v>425</v>
      </c>
    </row>
    <row r="159" spans="1:17" x14ac:dyDescent="0.2">
      <c r="A159" s="15">
        <f t="shared" si="2"/>
        <v>157</v>
      </c>
      <c r="B159" s="3" t="s">
        <v>63</v>
      </c>
      <c r="C159" s="3" t="str">
        <f>VLOOKUP(B159,Listas!A$3:C$30,3,0)</f>
        <v>Secretaria Municipal de Educação</v>
      </c>
      <c r="D159" s="3" t="str">
        <f>VLOOKUP(B159,Listas!A$3:C$30,2,0)</f>
        <v>18101</v>
      </c>
      <c r="E159" s="13" t="s">
        <v>278</v>
      </c>
      <c r="F159" s="3" t="s">
        <v>425</v>
      </c>
      <c r="G159" s="3" t="s">
        <v>425</v>
      </c>
      <c r="H159" s="5" t="s">
        <v>425</v>
      </c>
      <c r="I159" s="5"/>
      <c r="J159" s="3" t="s">
        <v>425</v>
      </c>
      <c r="K159" s="12" t="s">
        <v>425</v>
      </c>
      <c r="L159" s="3" t="s">
        <v>425</v>
      </c>
      <c r="M159" s="3" t="s">
        <v>425</v>
      </c>
      <c r="N159" s="3" t="s">
        <v>425</v>
      </c>
      <c r="O159" s="3" t="s">
        <v>425</v>
      </c>
      <c r="P159" s="3" t="s">
        <v>425</v>
      </c>
      <c r="Q159" s="3" t="s">
        <v>425</v>
      </c>
    </row>
    <row r="160" spans="1:17" x14ac:dyDescent="0.2">
      <c r="A160" s="15">
        <f t="shared" si="2"/>
        <v>158</v>
      </c>
      <c r="B160" s="3" t="s">
        <v>63</v>
      </c>
      <c r="C160" s="3" t="str">
        <f>VLOOKUP(B160,Listas!A$3:C$30,3,0)</f>
        <v>Secretaria Municipal de Educação</v>
      </c>
      <c r="D160" s="3" t="str">
        <f>VLOOKUP(B160,Listas!A$3:C$30,2,0)</f>
        <v>18101</v>
      </c>
      <c r="E160" s="13" t="s">
        <v>279</v>
      </c>
      <c r="F160" s="3" t="s">
        <v>425</v>
      </c>
      <c r="G160" s="3" t="s">
        <v>425</v>
      </c>
      <c r="H160" s="5" t="s">
        <v>425</v>
      </c>
      <c r="I160" s="5"/>
      <c r="J160" s="3" t="s">
        <v>425</v>
      </c>
      <c r="K160" s="12" t="s">
        <v>425</v>
      </c>
      <c r="L160" s="3" t="s">
        <v>425</v>
      </c>
      <c r="M160" s="3" t="s">
        <v>425</v>
      </c>
      <c r="N160" s="3" t="s">
        <v>425</v>
      </c>
      <c r="O160" s="3" t="s">
        <v>425</v>
      </c>
      <c r="P160" s="3" t="s">
        <v>425</v>
      </c>
      <c r="Q160" s="3" t="s">
        <v>425</v>
      </c>
    </row>
    <row r="161" spans="1:17" x14ac:dyDescent="0.2">
      <c r="A161" s="15">
        <f t="shared" si="2"/>
        <v>159</v>
      </c>
      <c r="B161" s="3" t="s">
        <v>63</v>
      </c>
      <c r="C161" s="3" t="str">
        <f>VLOOKUP(B161,Listas!A$3:C$30,3,0)</f>
        <v>Secretaria Municipal de Educação</v>
      </c>
      <c r="D161" s="3" t="str">
        <f>VLOOKUP(B161,Listas!A$3:C$30,2,0)</f>
        <v>18101</v>
      </c>
      <c r="E161" s="13" t="s">
        <v>280</v>
      </c>
      <c r="F161" s="3" t="s">
        <v>425</v>
      </c>
      <c r="G161" s="3" t="s">
        <v>425</v>
      </c>
      <c r="H161" s="5" t="s">
        <v>425</v>
      </c>
      <c r="I161" s="5"/>
      <c r="J161" s="3" t="s">
        <v>425</v>
      </c>
      <c r="K161" s="12" t="s">
        <v>425</v>
      </c>
      <c r="L161" s="3" t="s">
        <v>425</v>
      </c>
      <c r="M161" s="3" t="s">
        <v>425</v>
      </c>
      <c r="N161" s="3" t="s">
        <v>425</v>
      </c>
      <c r="O161" s="3" t="s">
        <v>425</v>
      </c>
      <c r="P161" s="3" t="s">
        <v>425</v>
      </c>
      <c r="Q161" s="3" t="s">
        <v>425</v>
      </c>
    </row>
    <row r="162" spans="1:17" x14ac:dyDescent="0.2">
      <c r="A162" s="15">
        <f t="shared" si="2"/>
        <v>160</v>
      </c>
      <c r="B162" s="3" t="s">
        <v>63</v>
      </c>
      <c r="C162" s="3" t="str">
        <f>VLOOKUP(B162,Listas!A$3:C$30,3,0)</f>
        <v>Secretaria Municipal de Educação</v>
      </c>
      <c r="D162" s="3" t="str">
        <f>VLOOKUP(B162,Listas!A$3:C$30,2,0)</f>
        <v>18101</v>
      </c>
      <c r="E162" s="13" t="s">
        <v>281</v>
      </c>
      <c r="F162" s="3" t="s">
        <v>425</v>
      </c>
      <c r="G162" s="3" t="s">
        <v>425</v>
      </c>
      <c r="H162" s="5" t="s">
        <v>425</v>
      </c>
      <c r="I162" s="5"/>
      <c r="J162" s="3" t="s">
        <v>425</v>
      </c>
      <c r="K162" s="12" t="s">
        <v>425</v>
      </c>
      <c r="L162" s="3" t="s">
        <v>425</v>
      </c>
      <c r="M162" s="3" t="s">
        <v>425</v>
      </c>
      <c r="N162" s="3" t="s">
        <v>425</v>
      </c>
      <c r="O162" s="3" t="s">
        <v>425</v>
      </c>
      <c r="P162" s="3" t="s">
        <v>425</v>
      </c>
      <c r="Q162" s="3" t="s">
        <v>425</v>
      </c>
    </row>
    <row r="163" spans="1:17" x14ac:dyDescent="0.2">
      <c r="A163" s="15">
        <f t="shared" si="2"/>
        <v>161</v>
      </c>
      <c r="B163" s="3" t="s">
        <v>63</v>
      </c>
      <c r="C163" s="3" t="str">
        <f>VLOOKUP(B163,Listas!A$3:C$30,3,0)</f>
        <v>Secretaria Municipal de Educação</v>
      </c>
      <c r="D163" s="3" t="str">
        <f>VLOOKUP(B163,Listas!A$3:C$30,2,0)</f>
        <v>18101</v>
      </c>
      <c r="E163" s="13" t="s">
        <v>282</v>
      </c>
      <c r="F163" s="3" t="s">
        <v>425</v>
      </c>
      <c r="G163" s="3" t="s">
        <v>425</v>
      </c>
      <c r="H163" s="5" t="s">
        <v>425</v>
      </c>
      <c r="I163" s="5"/>
      <c r="J163" s="3" t="s">
        <v>425</v>
      </c>
      <c r="K163" s="12" t="s">
        <v>425</v>
      </c>
      <c r="L163" s="3" t="s">
        <v>425</v>
      </c>
      <c r="M163" s="3" t="s">
        <v>425</v>
      </c>
      <c r="N163" s="3" t="s">
        <v>425</v>
      </c>
      <c r="O163" s="3" t="s">
        <v>425</v>
      </c>
      <c r="P163" s="3" t="s">
        <v>425</v>
      </c>
      <c r="Q163" s="3" t="s">
        <v>425</v>
      </c>
    </row>
    <row r="164" spans="1:17" x14ac:dyDescent="0.2">
      <c r="A164" s="15">
        <f t="shared" si="2"/>
        <v>162</v>
      </c>
      <c r="B164" s="3" t="s">
        <v>63</v>
      </c>
      <c r="C164" s="3" t="str">
        <f>VLOOKUP(B164,Listas!A$3:C$30,3,0)</f>
        <v>Secretaria Municipal de Educação</v>
      </c>
      <c r="D164" s="3" t="str">
        <f>VLOOKUP(B164,Listas!A$3:C$30,2,0)</f>
        <v>18101</v>
      </c>
      <c r="E164" s="13" t="s">
        <v>283</v>
      </c>
      <c r="F164" s="3" t="s">
        <v>425</v>
      </c>
      <c r="G164" s="3" t="s">
        <v>425</v>
      </c>
      <c r="H164" s="5" t="s">
        <v>425</v>
      </c>
      <c r="I164" s="5"/>
      <c r="J164" s="3" t="s">
        <v>425</v>
      </c>
      <c r="K164" s="12" t="s">
        <v>425</v>
      </c>
      <c r="L164" s="3" t="s">
        <v>425</v>
      </c>
      <c r="M164" s="3" t="s">
        <v>425</v>
      </c>
      <c r="N164" s="3" t="s">
        <v>425</v>
      </c>
      <c r="O164" s="3" t="s">
        <v>425</v>
      </c>
      <c r="P164" s="3" t="s">
        <v>425</v>
      </c>
      <c r="Q164" s="3" t="s">
        <v>425</v>
      </c>
    </row>
    <row r="165" spans="1:17" x14ac:dyDescent="0.2">
      <c r="A165" s="15">
        <f t="shared" si="2"/>
        <v>163</v>
      </c>
      <c r="B165" s="3" t="s">
        <v>63</v>
      </c>
      <c r="C165" s="3" t="str">
        <f>VLOOKUP(B165,Listas!A$3:C$30,3,0)</f>
        <v>Secretaria Municipal de Educação</v>
      </c>
      <c r="D165" s="3" t="str">
        <f>VLOOKUP(B165,Listas!A$3:C$30,2,0)</f>
        <v>18101</v>
      </c>
      <c r="E165" s="13" t="s">
        <v>284</v>
      </c>
      <c r="F165" s="3" t="s">
        <v>425</v>
      </c>
      <c r="G165" s="3" t="s">
        <v>425</v>
      </c>
      <c r="H165" s="5" t="s">
        <v>425</v>
      </c>
      <c r="I165" s="5"/>
      <c r="J165" s="3" t="s">
        <v>425</v>
      </c>
      <c r="K165" s="12" t="s">
        <v>425</v>
      </c>
      <c r="L165" s="3" t="s">
        <v>425</v>
      </c>
      <c r="M165" s="3" t="s">
        <v>425</v>
      </c>
      <c r="N165" s="3" t="s">
        <v>425</v>
      </c>
      <c r="O165" s="3" t="s">
        <v>425</v>
      </c>
      <c r="P165" s="3" t="s">
        <v>425</v>
      </c>
      <c r="Q165" s="3" t="s">
        <v>425</v>
      </c>
    </row>
    <row r="166" spans="1:17" x14ac:dyDescent="0.2">
      <c r="A166" s="15">
        <f t="shared" si="2"/>
        <v>164</v>
      </c>
      <c r="B166" s="3" t="s">
        <v>63</v>
      </c>
      <c r="C166" s="3" t="str">
        <f>VLOOKUP(B166,Listas!A$3:C$30,3,0)</f>
        <v>Secretaria Municipal de Educação</v>
      </c>
      <c r="D166" s="3" t="str">
        <f>VLOOKUP(B166,Listas!A$3:C$30,2,0)</f>
        <v>18101</v>
      </c>
      <c r="E166" s="13" t="s">
        <v>285</v>
      </c>
      <c r="F166" s="3" t="s">
        <v>425</v>
      </c>
      <c r="G166" s="3" t="s">
        <v>425</v>
      </c>
      <c r="H166" s="5" t="s">
        <v>425</v>
      </c>
      <c r="I166" s="5"/>
      <c r="J166" s="3" t="s">
        <v>425</v>
      </c>
      <c r="K166" s="12" t="s">
        <v>425</v>
      </c>
      <c r="L166" s="3" t="s">
        <v>425</v>
      </c>
      <c r="M166" s="3" t="s">
        <v>425</v>
      </c>
      <c r="N166" s="3" t="s">
        <v>425</v>
      </c>
      <c r="O166" s="3" t="s">
        <v>425</v>
      </c>
      <c r="P166" s="3" t="s">
        <v>425</v>
      </c>
      <c r="Q166" s="3" t="s">
        <v>425</v>
      </c>
    </row>
    <row r="167" spans="1:17" x14ac:dyDescent="0.2">
      <c r="A167" s="15">
        <f t="shared" si="2"/>
        <v>165</v>
      </c>
      <c r="B167" s="3" t="s">
        <v>63</v>
      </c>
      <c r="C167" s="3" t="str">
        <f>VLOOKUP(B167,Listas!A$3:C$30,3,0)</f>
        <v>Secretaria Municipal de Educação</v>
      </c>
      <c r="D167" s="3" t="str">
        <f>VLOOKUP(B167,Listas!A$3:C$30,2,0)</f>
        <v>18101</v>
      </c>
      <c r="E167" s="13" t="s">
        <v>286</v>
      </c>
      <c r="F167" s="3" t="s">
        <v>425</v>
      </c>
      <c r="G167" s="3" t="s">
        <v>425</v>
      </c>
      <c r="H167" s="5" t="s">
        <v>425</v>
      </c>
      <c r="I167" s="5"/>
      <c r="J167" s="3" t="s">
        <v>425</v>
      </c>
      <c r="K167" s="12" t="s">
        <v>425</v>
      </c>
      <c r="L167" s="3" t="s">
        <v>425</v>
      </c>
      <c r="M167" s="3" t="s">
        <v>425</v>
      </c>
      <c r="N167" s="3" t="s">
        <v>425</v>
      </c>
      <c r="O167" s="3" t="s">
        <v>425</v>
      </c>
      <c r="P167" s="3" t="s">
        <v>425</v>
      </c>
      <c r="Q167" s="3" t="s">
        <v>425</v>
      </c>
    </row>
    <row r="168" spans="1:17" x14ac:dyDescent="0.2">
      <c r="A168" s="15">
        <f t="shared" si="2"/>
        <v>166</v>
      </c>
      <c r="B168" s="3" t="s">
        <v>63</v>
      </c>
      <c r="C168" s="3" t="str">
        <f>VLOOKUP(B168,Listas!A$3:C$30,3,0)</f>
        <v>Secretaria Municipal de Educação</v>
      </c>
      <c r="D168" s="3" t="str">
        <f>VLOOKUP(B168,Listas!A$3:C$30,2,0)</f>
        <v>18101</v>
      </c>
      <c r="E168" s="13" t="s">
        <v>287</v>
      </c>
      <c r="F168" s="3" t="s">
        <v>425</v>
      </c>
      <c r="G168" s="3" t="s">
        <v>425</v>
      </c>
      <c r="H168" s="5" t="s">
        <v>425</v>
      </c>
      <c r="I168" s="5"/>
      <c r="J168" s="3" t="s">
        <v>425</v>
      </c>
      <c r="K168" s="12" t="s">
        <v>425</v>
      </c>
      <c r="L168" s="3" t="s">
        <v>425</v>
      </c>
      <c r="M168" s="3" t="s">
        <v>425</v>
      </c>
      <c r="N168" s="3" t="s">
        <v>425</v>
      </c>
      <c r="O168" s="3" t="s">
        <v>425</v>
      </c>
      <c r="P168" s="3" t="s">
        <v>425</v>
      </c>
      <c r="Q168" s="3" t="s">
        <v>425</v>
      </c>
    </row>
    <row r="169" spans="1:17" x14ac:dyDescent="0.2">
      <c r="A169" s="15">
        <f t="shared" si="2"/>
        <v>167</v>
      </c>
      <c r="B169" s="3" t="s">
        <v>63</v>
      </c>
      <c r="C169" s="3" t="str">
        <f>VLOOKUP(B169,Listas!A$3:C$30,3,0)</f>
        <v>Secretaria Municipal de Educação</v>
      </c>
      <c r="D169" s="3" t="str">
        <f>VLOOKUP(B169,Listas!A$3:C$30,2,0)</f>
        <v>18101</v>
      </c>
      <c r="E169" s="13" t="s">
        <v>122</v>
      </c>
      <c r="F169" s="3" t="s">
        <v>425</v>
      </c>
      <c r="G169" s="3" t="s">
        <v>425</v>
      </c>
      <c r="H169" s="5" t="s">
        <v>425</v>
      </c>
      <c r="I169" s="5"/>
      <c r="J169" s="3" t="s">
        <v>425</v>
      </c>
      <c r="K169" s="12" t="s">
        <v>425</v>
      </c>
      <c r="L169" s="3" t="s">
        <v>425</v>
      </c>
      <c r="M169" s="3" t="s">
        <v>425</v>
      </c>
      <c r="N169" s="3" t="s">
        <v>425</v>
      </c>
      <c r="O169" s="3" t="s">
        <v>425</v>
      </c>
      <c r="P169" s="3" t="s">
        <v>425</v>
      </c>
      <c r="Q169" s="3" t="s">
        <v>425</v>
      </c>
    </row>
    <row r="170" spans="1:17" x14ac:dyDescent="0.2">
      <c r="A170" s="15">
        <f t="shared" si="2"/>
        <v>168</v>
      </c>
      <c r="B170" s="3" t="s">
        <v>63</v>
      </c>
      <c r="C170" s="3" t="str">
        <f>VLOOKUP(B170,Listas!A$3:C$30,3,0)</f>
        <v>Secretaria Municipal de Educação</v>
      </c>
      <c r="D170" s="3" t="str">
        <f>VLOOKUP(B170,Listas!A$3:C$30,2,0)</f>
        <v>18101</v>
      </c>
      <c r="E170" s="13" t="s">
        <v>288</v>
      </c>
      <c r="F170" s="3" t="s">
        <v>425</v>
      </c>
      <c r="G170" s="3" t="s">
        <v>425</v>
      </c>
      <c r="H170" s="5" t="s">
        <v>425</v>
      </c>
      <c r="I170" s="5"/>
      <c r="J170" s="3" t="s">
        <v>425</v>
      </c>
      <c r="K170" s="12" t="s">
        <v>425</v>
      </c>
      <c r="L170" s="3" t="s">
        <v>425</v>
      </c>
      <c r="M170" s="3" t="s">
        <v>425</v>
      </c>
      <c r="N170" s="3" t="s">
        <v>425</v>
      </c>
      <c r="O170" s="3" t="s">
        <v>425</v>
      </c>
      <c r="P170" s="3" t="s">
        <v>425</v>
      </c>
      <c r="Q170" s="3" t="s">
        <v>425</v>
      </c>
    </row>
    <row r="171" spans="1:17" x14ac:dyDescent="0.2">
      <c r="A171" s="15">
        <f t="shared" si="2"/>
        <v>169</v>
      </c>
      <c r="B171" s="3" t="s">
        <v>63</v>
      </c>
      <c r="C171" s="3" t="str">
        <f>VLOOKUP(B171,Listas!A$3:C$30,3,0)</f>
        <v>Secretaria Municipal de Educação</v>
      </c>
      <c r="D171" s="3" t="str">
        <f>VLOOKUP(B171,Listas!A$3:C$30,2,0)</f>
        <v>18101</v>
      </c>
      <c r="E171" s="13" t="s">
        <v>289</v>
      </c>
      <c r="F171" s="3" t="s">
        <v>425</v>
      </c>
      <c r="G171" s="3" t="s">
        <v>425</v>
      </c>
      <c r="H171" s="5" t="s">
        <v>425</v>
      </c>
      <c r="I171" s="5"/>
      <c r="J171" s="3" t="s">
        <v>425</v>
      </c>
      <c r="K171" s="12" t="s">
        <v>425</v>
      </c>
      <c r="L171" s="3" t="s">
        <v>425</v>
      </c>
      <c r="M171" s="3" t="s">
        <v>425</v>
      </c>
      <c r="N171" s="3" t="s">
        <v>425</v>
      </c>
      <c r="O171" s="3" t="s">
        <v>425</v>
      </c>
      <c r="P171" s="3" t="s">
        <v>425</v>
      </c>
      <c r="Q171" s="3" t="s">
        <v>425</v>
      </c>
    </row>
    <row r="172" spans="1:17" x14ac:dyDescent="0.2">
      <c r="A172" s="15">
        <f t="shared" si="2"/>
        <v>170</v>
      </c>
      <c r="B172" s="3" t="s">
        <v>63</v>
      </c>
      <c r="C172" s="3" t="str">
        <f>VLOOKUP(B172,Listas!A$3:C$30,3,0)</f>
        <v>Secretaria Municipal de Educação</v>
      </c>
      <c r="D172" s="3" t="str">
        <f>VLOOKUP(B172,Listas!A$3:C$30,2,0)</f>
        <v>18101</v>
      </c>
      <c r="E172" s="13" t="s">
        <v>290</v>
      </c>
      <c r="F172" s="3" t="s">
        <v>425</v>
      </c>
      <c r="G172" s="3" t="s">
        <v>425</v>
      </c>
      <c r="H172" s="5" t="s">
        <v>425</v>
      </c>
      <c r="I172" s="5"/>
      <c r="J172" s="3" t="s">
        <v>425</v>
      </c>
      <c r="K172" s="12" t="s">
        <v>425</v>
      </c>
      <c r="L172" s="3" t="s">
        <v>425</v>
      </c>
      <c r="M172" s="3" t="s">
        <v>425</v>
      </c>
      <c r="N172" s="3" t="s">
        <v>425</v>
      </c>
      <c r="O172" s="3" t="s">
        <v>425</v>
      </c>
      <c r="P172" s="3" t="s">
        <v>425</v>
      </c>
      <c r="Q172" s="3" t="s">
        <v>425</v>
      </c>
    </row>
    <row r="173" spans="1:17" x14ac:dyDescent="0.2">
      <c r="A173" s="15">
        <f t="shared" si="2"/>
        <v>171</v>
      </c>
      <c r="B173" s="3" t="s">
        <v>63</v>
      </c>
      <c r="C173" s="3" t="str">
        <f>VLOOKUP(B173,Listas!A$3:C$30,3,0)</f>
        <v>Secretaria Municipal de Educação</v>
      </c>
      <c r="D173" s="3" t="str">
        <f>VLOOKUP(B173,Listas!A$3:C$30,2,0)</f>
        <v>18101</v>
      </c>
      <c r="E173" s="13" t="s">
        <v>291</v>
      </c>
      <c r="F173" s="3" t="s">
        <v>425</v>
      </c>
      <c r="G173" s="3" t="s">
        <v>425</v>
      </c>
      <c r="H173" s="5" t="s">
        <v>425</v>
      </c>
      <c r="I173" s="5"/>
      <c r="J173" s="3" t="s">
        <v>425</v>
      </c>
      <c r="K173" s="12" t="s">
        <v>425</v>
      </c>
      <c r="L173" s="3" t="s">
        <v>425</v>
      </c>
      <c r="M173" s="3" t="s">
        <v>425</v>
      </c>
      <c r="N173" s="3" t="s">
        <v>425</v>
      </c>
      <c r="O173" s="3" t="s">
        <v>425</v>
      </c>
      <c r="P173" s="3" t="s">
        <v>425</v>
      </c>
      <c r="Q173" s="3" t="s">
        <v>425</v>
      </c>
    </row>
    <row r="174" spans="1:17" x14ac:dyDescent="0.2">
      <c r="A174" s="15">
        <f t="shared" si="2"/>
        <v>172</v>
      </c>
      <c r="B174" s="3" t="s">
        <v>63</v>
      </c>
      <c r="C174" s="3" t="str">
        <f>VLOOKUP(B174,Listas!A$3:C$30,3,0)</f>
        <v>Secretaria Municipal de Educação</v>
      </c>
      <c r="D174" s="3" t="str">
        <f>VLOOKUP(B174,Listas!A$3:C$30,2,0)</f>
        <v>18101</v>
      </c>
      <c r="E174" s="13" t="s">
        <v>292</v>
      </c>
      <c r="F174" s="3" t="s">
        <v>425</v>
      </c>
      <c r="G174" s="3" t="s">
        <v>425</v>
      </c>
      <c r="H174" s="5" t="s">
        <v>425</v>
      </c>
      <c r="I174" s="5"/>
      <c r="J174" s="3" t="s">
        <v>425</v>
      </c>
      <c r="K174" s="12" t="s">
        <v>425</v>
      </c>
      <c r="L174" s="3" t="s">
        <v>425</v>
      </c>
      <c r="M174" s="3" t="s">
        <v>425</v>
      </c>
      <c r="N174" s="3" t="s">
        <v>425</v>
      </c>
      <c r="O174" s="3" t="s">
        <v>425</v>
      </c>
      <c r="P174" s="3" t="s">
        <v>425</v>
      </c>
      <c r="Q174" s="3" t="s">
        <v>425</v>
      </c>
    </row>
    <row r="175" spans="1:17" x14ac:dyDescent="0.2">
      <c r="A175" s="15">
        <f t="shared" si="2"/>
        <v>173</v>
      </c>
      <c r="B175" s="3" t="s">
        <v>63</v>
      </c>
      <c r="C175" s="3" t="str">
        <f>VLOOKUP(B175,Listas!A$3:C$30,3,0)</f>
        <v>Secretaria Municipal de Educação</v>
      </c>
      <c r="D175" s="3" t="str">
        <f>VLOOKUP(B175,Listas!A$3:C$30,2,0)</f>
        <v>18101</v>
      </c>
      <c r="E175" s="13" t="s">
        <v>293</v>
      </c>
      <c r="F175" s="3" t="s">
        <v>425</v>
      </c>
      <c r="G175" s="3" t="s">
        <v>425</v>
      </c>
      <c r="H175" s="5" t="s">
        <v>425</v>
      </c>
      <c r="I175" s="5"/>
      <c r="J175" s="3" t="s">
        <v>425</v>
      </c>
      <c r="K175" s="12" t="s">
        <v>425</v>
      </c>
      <c r="L175" s="3" t="s">
        <v>425</v>
      </c>
      <c r="M175" s="3" t="s">
        <v>425</v>
      </c>
      <c r="N175" s="3" t="s">
        <v>425</v>
      </c>
      <c r="O175" s="3" t="s">
        <v>425</v>
      </c>
      <c r="P175" s="3" t="s">
        <v>425</v>
      </c>
      <c r="Q175" s="3" t="s">
        <v>425</v>
      </c>
    </row>
    <row r="176" spans="1:17" x14ac:dyDescent="0.2">
      <c r="A176" s="15">
        <f t="shared" si="2"/>
        <v>174</v>
      </c>
      <c r="B176" s="3" t="s">
        <v>63</v>
      </c>
      <c r="C176" s="3" t="str">
        <f>VLOOKUP(B176,Listas!A$3:C$30,3,0)</f>
        <v>Secretaria Municipal de Educação</v>
      </c>
      <c r="D176" s="3" t="str">
        <f>VLOOKUP(B176,Listas!A$3:C$30,2,0)</f>
        <v>18101</v>
      </c>
      <c r="E176" s="13" t="s">
        <v>294</v>
      </c>
      <c r="F176" s="3" t="s">
        <v>425</v>
      </c>
      <c r="G176" s="3" t="s">
        <v>425</v>
      </c>
      <c r="H176" s="5" t="s">
        <v>425</v>
      </c>
      <c r="I176" s="5"/>
      <c r="J176" s="3" t="s">
        <v>425</v>
      </c>
      <c r="K176" s="12" t="s">
        <v>425</v>
      </c>
      <c r="L176" s="3" t="s">
        <v>425</v>
      </c>
      <c r="M176" s="3" t="s">
        <v>425</v>
      </c>
      <c r="N176" s="3" t="s">
        <v>425</v>
      </c>
      <c r="O176" s="3" t="s">
        <v>425</v>
      </c>
      <c r="P176" s="3" t="s">
        <v>425</v>
      </c>
      <c r="Q176" s="3" t="s">
        <v>425</v>
      </c>
    </row>
    <row r="177" spans="1:17" x14ac:dyDescent="0.2">
      <c r="A177" s="15">
        <f t="shared" si="2"/>
        <v>175</v>
      </c>
      <c r="B177" s="3" t="s">
        <v>63</v>
      </c>
      <c r="C177" s="3" t="str">
        <f>VLOOKUP(B177,Listas!A$3:C$30,3,0)</f>
        <v>Secretaria Municipal de Educação</v>
      </c>
      <c r="D177" s="3" t="str">
        <f>VLOOKUP(B177,Listas!A$3:C$30,2,0)</f>
        <v>18101</v>
      </c>
      <c r="E177" s="13" t="s">
        <v>295</v>
      </c>
      <c r="F177" s="3" t="s">
        <v>425</v>
      </c>
      <c r="G177" s="3" t="s">
        <v>425</v>
      </c>
      <c r="H177" s="5" t="s">
        <v>425</v>
      </c>
      <c r="I177" s="5"/>
      <c r="J177" s="3" t="s">
        <v>425</v>
      </c>
      <c r="K177" s="12" t="s">
        <v>425</v>
      </c>
      <c r="L177" s="3" t="s">
        <v>425</v>
      </c>
      <c r="M177" s="3" t="s">
        <v>425</v>
      </c>
      <c r="N177" s="3" t="s">
        <v>425</v>
      </c>
      <c r="O177" s="3" t="s">
        <v>425</v>
      </c>
      <c r="P177" s="3" t="s">
        <v>425</v>
      </c>
      <c r="Q177" s="3" t="s">
        <v>425</v>
      </c>
    </row>
    <row r="178" spans="1:17" x14ac:dyDescent="0.2">
      <c r="A178" s="15">
        <f t="shared" si="2"/>
        <v>176</v>
      </c>
      <c r="B178" s="3" t="s">
        <v>63</v>
      </c>
      <c r="C178" s="3" t="str">
        <f>VLOOKUP(B178,Listas!A$3:C$30,3,0)</f>
        <v>Secretaria Municipal de Educação</v>
      </c>
      <c r="D178" s="3" t="str">
        <f>VLOOKUP(B178,Listas!A$3:C$30,2,0)</f>
        <v>18101</v>
      </c>
      <c r="E178" s="13" t="s">
        <v>296</v>
      </c>
      <c r="F178" s="3" t="s">
        <v>425</v>
      </c>
      <c r="G178" s="3" t="s">
        <v>425</v>
      </c>
      <c r="H178" s="5" t="s">
        <v>425</v>
      </c>
      <c r="I178" s="5"/>
      <c r="J178" s="3" t="s">
        <v>425</v>
      </c>
      <c r="K178" s="12" t="s">
        <v>425</v>
      </c>
      <c r="L178" s="3" t="s">
        <v>425</v>
      </c>
      <c r="M178" s="3" t="s">
        <v>425</v>
      </c>
      <c r="N178" s="3" t="s">
        <v>425</v>
      </c>
      <c r="O178" s="3" t="s">
        <v>425</v>
      </c>
      <c r="P178" s="3" t="s">
        <v>425</v>
      </c>
      <c r="Q178" s="3" t="s">
        <v>425</v>
      </c>
    </row>
    <row r="179" spans="1:17" x14ac:dyDescent="0.2">
      <c r="A179" s="15">
        <f t="shared" si="2"/>
        <v>177</v>
      </c>
      <c r="B179" s="3" t="s">
        <v>63</v>
      </c>
      <c r="C179" s="3" t="str">
        <f>VLOOKUP(B179,Listas!A$3:C$30,3,0)</f>
        <v>Secretaria Municipal de Educação</v>
      </c>
      <c r="D179" s="3" t="str">
        <f>VLOOKUP(B179,Listas!A$3:C$30,2,0)</f>
        <v>18101</v>
      </c>
      <c r="E179" s="13" t="s">
        <v>297</v>
      </c>
      <c r="F179" s="3" t="s">
        <v>425</v>
      </c>
      <c r="G179" s="3" t="s">
        <v>425</v>
      </c>
      <c r="H179" s="5" t="s">
        <v>425</v>
      </c>
      <c r="I179" s="5"/>
      <c r="J179" s="3" t="s">
        <v>425</v>
      </c>
      <c r="K179" s="12" t="s">
        <v>425</v>
      </c>
      <c r="L179" s="3" t="s">
        <v>425</v>
      </c>
      <c r="M179" s="3" t="s">
        <v>425</v>
      </c>
      <c r="N179" s="3" t="s">
        <v>425</v>
      </c>
      <c r="O179" s="3" t="s">
        <v>425</v>
      </c>
      <c r="P179" s="3" t="s">
        <v>425</v>
      </c>
      <c r="Q179" s="3" t="s">
        <v>425</v>
      </c>
    </row>
    <row r="180" spans="1:17" x14ac:dyDescent="0.2">
      <c r="A180" s="15">
        <f t="shared" si="2"/>
        <v>178</v>
      </c>
      <c r="B180" s="3" t="s">
        <v>63</v>
      </c>
      <c r="C180" s="3" t="str">
        <f>VLOOKUP(B180,Listas!A$3:C$30,3,0)</f>
        <v>Secretaria Municipal de Educação</v>
      </c>
      <c r="D180" s="3" t="str">
        <f>VLOOKUP(B180,Listas!A$3:C$30,2,0)</f>
        <v>18101</v>
      </c>
      <c r="E180" s="13" t="s">
        <v>298</v>
      </c>
      <c r="F180" s="3" t="s">
        <v>425</v>
      </c>
      <c r="G180" s="3" t="s">
        <v>425</v>
      </c>
      <c r="H180" s="5" t="s">
        <v>425</v>
      </c>
      <c r="I180" s="5"/>
      <c r="J180" s="3" t="s">
        <v>425</v>
      </c>
      <c r="K180" s="12" t="s">
        <v>425</v>
      </c>
      <c r="L180" s="3" t="s">
        <v>425</v>
      </c>
      <c r="M180" s="3" t="s">
        <v>425</v>
      </c>
      <c r="N180" s="3" t="s">
        <v>425</v>
      </c>
      <c r="O180" s="3" t="s">
        <v>425</v>
      </c>
      <c r="P180" s="3" t="s">
        <v>425</v>
      </c>
      <c r="Q180" s="3" t="s">
        <v>425</v>
      </c>
    </row>
    <row r="181" spans="1:17" x14ac:dyDescent="0.2">
      <c r="A181" s="15">
        <f t="shared" si="2"/>
        <v>179</v>
      </c>
      <c r="B181" s="3" t="s">
        <v>63</v>
      </c>
      <c r="C181" s="3" t="str">
        <f>VLOOKUP(B181,Listas!A$3:C$30,3,0)</f>
        <v>Secretaria Municipal de Educação</v>
      </c>
      <c r="D181" s="3" t="str">
        <f>VLOOKUP(B181,Listas!A$3:C$30,2,0)</f>
        <v>18101</v>
      </c>
      <c r="E181" s="13" t="s">
        <v>299</v>
      </c>
      <c r="F181" s="3" t="s">
        <v>425</v>
      </c>
      <c r="G181" s="3" t="s">
        <v>425</v>
      </c>
      <c r="H181" s="5" t="s">
        <v>425</v>
      </c>
      <c r="I181" s="5"/>
      <c r="J181" s="3" t="s">
        <v>425</v>
      </c>
      <c r="K181" s="12" t="s">
        <v>425</v>
      </c>
      <c r="L181" s="3" t="s">
        <v>425</v>
      </c>
      <c r="M181" s="3" t="s">
        <v>425</v>
      </c>
      <c r="N181" s="3" t="s">
        <v>425</v>
      </c>
      <c r="O181" s="3" t="s">
        <v>425</v>
      </c>
      <c r="P181" s="3" t="s">
        <v>425</v>
      </c>
      <c r="Q181" s="3" t="s">
        <v>425</v>
      </c>
    </row>
    <row r="182" spans="1:17" x14ac:dyDescent="0.2">
      <c r="A182" s="15">
        <f t="shared" si="2"/>
        <v>180</v>
      </c>
      <c r="B182" s="3" t="s">
        <v>63</v>
      </c>
      <c r="C182" s="3" t="str">
        <f>VLOOKUP(B182,Listas!A$3:C$30,3,0)</f>
        <v>Secretaria Municipal de Educação</v>
      </c>
      <c r="D182" s="3" t="str">
        <f>VLOOKUP(B182,Listas!A$3:C$30,2,0)</f>
        <v>18101</v>
      </c>
      <c r="E182" s="13" t="s">
        <v>300</v>
      </c>
      <c r="F182" s="3" t="s">
        <v>425</v>
      </c>
      <c r="G182" s="3" t="s">
        <v>425</v>
      </c>
      <c r="H182" s="5" t="s">
        <v>425</v>
      </c>
      <c r="I182" s="5"/>
      <c r="J182" s="3" t="s">
        <v>425</v>
      </c>
      <c r="K182" s="12" t="s">
        <v>425</v>
      </c>
      <c r="L182" s="3" t="s">
        <v>425</v>
      </c>
      <c r="M182" s="3" t="s">
        <v>425</v>
      </c>
      <c r="N182" s="3" t="s">
        <v>425</v>
      </c>
      <c r="O182" s="3" t="s">
        <v>425</v>
      </c>
      <c r="P182" s="3" t="s">
        <v>425</v>
      </c>
      <c r="Q182" s="3" t="s">
        <v>425</v>
      </c>
    </row>
    <row r="183" spans="1:17" x14ac:dyDescent="0.2">
      <c r="A183" s="15">
        <f t="shared" si="2"/>
        <v>181</v>
      </c>
      <c r="B183" s="3" t="s">
        <v>63</v>
      </c>
      <c r="C183" s="3" t="str">
        <f>VLOOKUP(B183,Listas!A$3:C$30,3,0)</f>
        <v>Secretaria Municipal de Educação</v>
      </c>
      <c r="D183" s="3" t="str">
        <f>VLOOKUP(B183,Listas!A$3:C$30,2,0)</f>
        <v>18101</v>
      </c>
      <c r="E183" s="13" t="s">
        <v>301</v>
      </c>
      <c r="F183" s="3" t="s">
        <v>425</v>
      </c>
      <c r="G183" s="3" t="s">
        <v>425</v>
      </c>
      <c r="H183" s="5" t="s">
        <v>425</v>
      </c>
      <c r="I183" s="5"/>
      <c r="J183" s="3" t="s">
        <v>425</v>
      </c>
      <c r="K183" s="12" t="s">
        <v>425</v>
      </c>
      <c r="L183" s="3" t="s">
        <v>425</v>
      </c>
      <c r="M183" s="3" t="s">
        <v>425</v>
      </c>
      <c r="N183" s="3" t="s">
        <v>425</v>
      </c>
      <c r="O183" s="3" t="s">
        <v>425</v>
      </c>
      <c r="P183" s="3" t="s">
        <v>425</v>
      </c>
      <c r="Q183" s="3" t="s">
        <v>425</v>
      </c>
    </row>
    <row r="184" spans="1:17" x14ac:dyDescent="0.2">
      <c r="A184" s="15">
        <f t="shared" si="2"/>
        <v>182</v>
      </c>
      <c r="B184" s="3" t="s">
        <v>63</v>
      </c>
      <c r="C184" s="3" t="str">
        <f>VLOOKUP(B184,Listas!A$3:C$30,3,0)</f>
        <v>Secretaria Municipal de Educação</v>
      </c>
      <c r="D184" s="3" t="str">
        <f>VLOOKUP(B184,Listas!A$3:C$30,2,0)</f>
        <v>18101</v>
      </c>
      <c r="E184" s="13" t="s">
        <v>302</v>
      </c>
      <c r="F184" s="3" t="s">
        <v>425</v>
      </c>
      <c r="G184" s="3" t="s">
        <v>425</v>
      </c>
      <c r="H184" s="5" t="s">
        <v>425</v>
      </c>
      <c r="I184" s="5"/>
      <c r="J184" s="3" t="s">
        <v>425</v>
      </c>
      <c r="K184" s="12" t="s">
        <v>425</v>
      </c>
      <c r="L184" s="3" t="s">
        <v>425</v>
      </c>
      <c r="M184" s="3" t="s">
        <v>425</v>
      </c>
      <c r="N184" s="3" t="s">
        <v>425</v>
      </c>
      <c r="O184" s="3" t="s">
        <v>425</v>
      </c>
      <c r="P184" s="3" t="s">
        <v>425</v>
      </c>
      <c r="Q184" s="3" t="s">
        <v>425</v>
      </c>
    </row>
    <row r="185" spans="1:17" x14ac:dyDescent="0.2">
      <c r="A185" s="15">
        <f t="shared" si="2"/>
        <v>183</v>
      </c>
      <c r="B185" s="3" t="s">
        <v>63</v>
      </c>
      <c r="C185" s="3" t="str">
        <f>VLOOKUP(B185,Listas!A$3:C$30,3,0)</f>
        <v>Secretaria Municipal de Educação</v>
      </c>
      <c r="D185" s="3" t="str">
        <f>VLOOKUP(B185,Listas!A$3:C$30,2,0)</f>
        <v>18101</v>
      </c>
      <c r="E185" s="13" t="s">
        <v>303</v>
      </c>
      <c r="F185" s="3" t="s">
        <v>425</v>
      </c>
      <c r="G185" s="3" t="s">
        <v>425</v>
      </c>
      <c r="H185" s="5" t="s">
        <v>425</v>
      </c>
      <c r="I185" s="5"/>
      <c r="J185" s="3" t="s">
        <v>425</v>
      </c>
      <c r="K185" s="12" t="s">
        <v>425</v>
      </c>
      <c r="L185" s="3" t="s">
        <v>425</v>
      </c>
      <c r="M185" s="3" t="s">
        <v>425</v>
      </c>
      <c r="N185" s="3" t="s">
        <v>425</v>
      </c>
      <c r="O185" s="3" t="s">
        <v>425</v>
      </c>
      <c r="P185" s="3" t="s">
        <v>425</v>
      </c>
      <c r="Q185" s="3" t="s">
        <v>425</v>
      </c>
    </row>
    <row r="186" spans="1:17" x14ac:dyDescent="0.2">
      <c r="A186" s="15">
        <f t="shared" si="2"/>
        <v>184</v>
      </c>
      <c r="B186" s="3" t="s">
        <v>63</v>
      </c>
      <c r="C186" s="3" t="str">
        <f>VLOOKUP(B186,Listas!A$3:C$30,3,0)</f>
        <v>Secretaria Municipal de Educação</v>
      </c>
      <c r="D186" s="3" t="str">
        <f>VLOOKUP(B186,Listas!A$3:C$30,2,0)</f>
        <v>18101</v>
      </c>
      <c r="E186" s="13" t="s">
        <v>304</v>
      </c>
      <c r="F186" s="3" t="s">
        <v>425</v>
      </c>
      <c r="G186" s="3" t="s">
        <v>425</v>
      </c>
      <c r="H186" s="5" t="s">
        <v>425</v>
      </c>
      <c r="I186" s="5"/>
      <c r="J186" s="3" t="s">
        <v>425</v>
      </c>
      <c r="K186" s="12" t="s">
        <v>425</v>
      </c>
      <c r="L186" s="3" t="s">
        <v>425</v>
      </c>
      <c r="M186" s="3" t="s">
        <v>425</v>
      </c>
      <c r="N186" s="3" t="s">
        <v>425</v>
      </c>
      <c r="O186" s="3" t="s">
        <v>425</v>
      </c>
      <c r="P186" s="3" t="s">
        <v>425</v>
      </c>
      <c r="Q186" s="3" t="s">
        <v>425</v>
      </c>
    </row>
    <row r="187" spans="1:17" x14ac:dyDescent="0.2">
      <c r="A187" s="15">
        <f t="shared" si="2"/>
        <v>185</v>
      </c>
      <c r="B187" s="3" t="s">
        <v>63</v>
      </c>
      <c r="C187" s="3" t="str">
        <f>VLOOKUP(B187,Listas!A$3:C$30,3,0)</f>
        <v>Secretaria Municipal de Educação</v>
      </c>
      <c r="D187" s="3" t="str">
        <f>VLOOKUP(B187,Listas!A$3:C$30,2,0)</f>
        <v>18101</v>
      </c>
      <c r="E187" s="13" t="s">
        <v>305</v>
      </c>
      <c r="F187" s="3" t="s">
        <v>425</v>
      </c>
      <c r="G187" s="3" t="s">
        <v>425</v>
      </c>
      <c r="H187" s="5" t="s">
        <v>425</v>
      </c>
      <c r="I187" s="5"/>
      <c r="J187" s="3" t="s">
        <v>425</v>
      </c>
      <c r="K187" s="12" t="s">
        <v>425</v>
      </c>
      <c r="L187" s="3" t="s">
        <v>425</v>
      </c>
      <c r="M187" s="3" t="s">
        <v>425</v>
      </c>
      <c r="N187" s="3" t="s">
        <v>425</v>
      </c>
      <c r="O187" s="3" t="s">
        <v>425</v>
      </c>
      <c r="P187" s="3" t="s">
        <v>425</v>
      </c>
      <c r="Q187" s="3" t="s">
        <v>425</v>
      </c>
    </row>
    <row r="188" spans="1:17" x14ac:dyDescent="0.2">
      <c r="A188" s="15">
        <f t="shared" si="2"/>
        <v>186</v>
      </c>
      <c r="B188" s="3" t="s">
        <v>63</v>
      </c>
      <c r="C188" s="3" t="str">
        <f>VLOOKUP(B188,Listas!A$3:C$30,3,0)</f>
        <v>Secretaria Municipal de Educação</v>
      </c>
      <c r="D188" s="3" t="str">
        <f>VLOOKUP(B188,Listas!A$3:C$30,2,0)</f>
        <v>18101</v>
      </c>
      <c r="E188" s="13" t="s">
        <v>306</v>
      </c>
      <c r="F188" s="3" t="s">
        <v>425</v>
      </c>
      <c r="G188" s="3" t="s">
        <v>425</v>
      </c>
      <c r="H188" s="5" t="s">
        <v>425</v>
      </c>
      <c r="I188" s="5"/>
      <c r="J188" s="3" t="s">
        <v>425</v>
      </c>
      <c r="K188" s="12" t="s">
        <v>425</v>
      </c>
      <c r="L188" s="3" t="s">
        <v>425</v>
      </c>
      <c r="M188" s="3" t="s">
        <v>425</v>
      </c>
      <c r="N188" s="3" t="s">
        <v>425</v>
      </c>
      <c r="O188" s="3" t="s">
        <v>425</v>
      </c>
      <c r="P188" s="3" t="s">
        <v>425</v>
      </c>
      <c r="Q188" s="3" t="s">
        <v>425</v>
      </c>
    </row>
    <row r="189" spans="1:17" x14ac:dyDescent="0.2">
      <c r="A189" s="15">
        <f t="shared" si="2"/>
        <v>187</v>
      </c>
      <c r="B189" s="3" t="s">
        <v>63</v>
      </c>
      <c r="C189" s="3" t="str">
        <f>VLOOKUP(B189,Listas!A$3:C$30,3,0)</f>
        <v>Secretaria Municipal de Educação</v>
      </c>
      <c r="D189" s="3" t="str">
        <f>VLOOKUP(B189,Listas!A$3:C$30,2,0)</f>
        <v>18101</v>
      </c>
      <c r="E189" s="13" t="s">
        <v>307</v>
      </c>
      <c r="F189" s="3" t="s">
        <v>425</v>
      </c>
      <c r="G189" s="3" t="s">
        <v>425</v>
      </c>
      <c r="H189" s="5" t="s">
        <v>425</v>
      </c>
      <c r="I189" s="5"/>
      <c r="J189" s="3" t="s">
        <v>425</v>
      </c>
      <c r="K189" s="12" t="s">
        <v>425</v>
      </c>
      <c r="L189" s="3" t="s">
        <v>425</v>
      </c>
      <c r="M189" s="3" t="s">
        <v>425</v>
      </c>
      <c r="N189" s="3" t="s">
        <v>425</v>
      </c>
      <c r="O189" s="3" t="s">
        <v>425</v>
      </c>
      <c r="P189" s="3" t="s">
        <v>425</v>
      </c>
      <c r="Q189" s="3" t="s">
        <v>425</v>
      </c>
    </row>
    <row r="190" spans="1:17" x14ac:dyDescent="0.2">
      <c r="A190" s="15">
        <f t="shared" si="2"/>
        <v>188</v>
      </c>
      <c r="B190" s="3" t="s">
        <v>63</v>
      </c>
      <c r="C190" s="3" t="str">
        <f>VLOOKUP(B190,Listas!A$3:C$30,3,0)</f>
        <v>Secretaria Municipal de Educação</v>
      </c>
      <c r="D190" s="3" t="str">
        <f>VLOOKUP(B190,Listas!A$3:C$30,2,0)</f>
        <v>18101</v>
      </c>
      <c r="E190" s="13" t="s">
        <v>308</v>
      </c>
      <c r="F190" s="3" t="s">
        <v>425</v>
      </c>
      <c r="G190" s="3" t="s">
        <v>425</v>
      </c>
      <c r="H190" s="5" t="s">
        <v>425</v>
      </c>
      <c r="I190" s="5"/>
      <c r="J190" s="3" t="s">
        <v>425</v>
      </c>
      <c r="K190" s="12" t="s">
        <v>425</v>
      </c>
      <c r="L190" s="3" t="s">
        <v>425</v>
      </c>
      <c r="M190" s="3" t="s">
        <v>425</v>
      </c>
      <c r="N190" s="3" t="s">
        <v>425</v>
      </c>
      <c r="O190" s="3" t="s">
        <v>425</v>
      </c>
      <c r="P190" s="3" t="s">
        <v>425</v>
      </c>
      <c r="Q190" s="3" t="s">
        <v>425</v>
      </c>
    </row>
    <row r="191" spans="1:17" x14ac:dyDescent="0.2">
      <c r="A191" s="15">
        <f t="shared" si="2"/>
        <v>189</v>
      </c>
      <c r="B191" s="3" t="s">
        <v>63</v>
      </c>
      <c r="C191" s="3" t="str">
        <f>VLOOKUP(B191,Listas!A$3:C$30,3,0)</f>
        <v>Secretaria Municipal de Educação</v>
      </c>
      <c r="D191" s="3" t="str">
        <f>VLOOKUP(B191,Listas!A$3:C$30,2,0)</f>
        <v>18101</v>
      </c>
      <c r="E191" s="13" t="s">
        <v>309</v>
      </c>
      <c r="F191" s="3" t="s">
        <v>425</v>
      </c>
      <c r="G191" s="3" t="s">
        <v>425</v>
      </c>
      <c r="H191" s="5" t="s">
        <v>425</v>
      </c>
      <c r="I191" s="5"/>
      <c r="J191" s="3" t="s">
        <v>425</v>
      </c>
      <c r="K191" s="12" t="s">
        <v>425</v>
      </c>
      <c r="L191" s="3" t="s">
        <v>425</v>
      </c>
      <c r="M191" s="3" t="s">
        <v>425</v>
      </c>
      <c r="N191" s="3" t="s">
        <v>425</v>
      </c>
      <c r="O191" s="3" t="s">
        <v>425</v>
      </c>
      <c r="P191" s="3" t="s">
        <v>425</v>
      </c>
      <c r="Q191" s="3" t="s">
        <v>425</v>
      </c>
    </row>
    <row r="192" spans="1:17" x14ac:dyDescent="0.2">
      <c r="A192" s="15">
        <f t="shared" si="2"/>
        <v>190</v>
      </c>
      <c r="B192" s="3" t="s">
        <v>63</v>
      </c>
      <c r="C192" s="3" t="str">
        <f>VLOOKUP(B192,Listas!A$3:C$30,3,0)</f>
        <v>Secretaria Municipal de Educação</v>
      </c>
      <c r="D192" s="3" t="str">
        <f>VLOOKUP(B192,Listas!A$3:C$30,2,0)</f>
        <v>18101</v>
      </c>
      <c r="E192" s="13" t="s">
        <v>310</v>
      </c>
      <c r="F192" s="3" t="s">
        <v>425</v>
      </c>
      <c r="G192" s="3" t="s">
        <v>425</v>
      </c>
      <c r="H192" s="5" t="s">
        <v>425</v>
      </c>
      <c r="I192" s="5"/>
      <c r="J192" s="3" t="s">
        <v>425</v>
      </c>
      <c r="K192" s="12" t="s">
        <v>425</v>
      </c>
      <c r="L192" s="3" t="s">
        <v>425</v>
      </c>
      <c r="M192" s="3" t="s">
        <v>425</v>
      </c>
      <c r="N192" s="3" t="s">
        <v>425</v>
      </c>
      <c r="O192" s="3" t="s">
        <v>425</v>
      </c>
      <c r="P192" s="3" t="s">
        <v>425</v>
      </c>
      <c r="Q192" s="3" t="s">
        <v>425</v>
      </c>
    </row>
    <row r="193" spans="1:17" x14ac:dyDescent="0.2">
      <c r="A193" s="15">
        <f t="shared" si="2"/>
        <v>191</v>
      </c>
      <c r="B193" s="3" t="s">
        <v>63</v>
      </c>
      <c r="C193" s="3" t="str">
        <f>VLOOKUP(B193,Listas!A$3:C$30,3,0)</f>
        <v>Secretaria Municipal de Educação</v>
      </c>
      <c r="D193" s="3" t="str">
        <f>VLOOKUP(B193,Listas!A$3:C$30,2,0)</f>
        <v>18101</v>
      </c>
      <c r="E193" s="13" t="s">
        <v>311</v>
      </c>
      <c r="F193" s="3" t="s">
        <v>425</v>
      </c>
      <c r="G193" s="3" t="s">
        <v>425</v>
      </c>
      <c r="H193" s="5" t="s">
        <v>425</v>
      </c>
      <c r="I193" s="5"/>
      <c r="J193" s="3" t="s">
        <v>425</v>
      </c>
      <c r="K193" s="12" t="s">
        <v>425</v>
      </c>
      <c r="L193" s="3" t="s">
        <v>425</v>
      </c>
      <c r="M193" s="3" t="s">
        <v>425</v>
      </c>
      <c r="N193" s="3" t="s">
        <v>425</v>
      </c>
      <c r="O193" s="3" t="s">
        <v>425</v>
      </c>
      <c r="P193" s="3" t="s">
        <v>425</v>
      </c>
      <c r="Q193" s="3" t="s">
        <v>425</v>
      </c>
    </row>
    <row r="194" spans="1:17" x14ac:dyDescent="0.2">
      <c r="A194" s="15">
        <f t="shared" si="2"/>
        <v>192</v>
      </c>
      <c r="B194" s="3" t="s">
        <v>63</v>
      </c>
      <c r="C194" s="3" t="str">
        <f>VLOOKUP(B194,Listas!A$3:C$30,3,0)</f>
        <v>Secretaria Municipal de Educação</v>
      </c>
      <c r="D194" s="3" t="str">
        <f>VLOOKUP(B194,Listas!A$3:C$30,2,0)</f>
        <v>18101</v>
      </c>
      <c r="E194" s="13" t="s">
        <v>312</v>
      </c>
      <c r="F194" s="3" t="s">
        <v>425</v>
      </c>
      <c r="G194" s="3" t="s">
        <v>425</v>
      </c>
      <c r="H194" s="5" t="s">
        <v>425</v>
      </c>
      <c r="I194" s="5"/>
      <c r="J194" s="3" t="s">
        <v>425</v>
      </c>
      <c r="K194" s="12" t="s">
        <v>425</v>
      </c>
      <c r="L194" s="3" t="s">
        <v>425</v>
      </c>
      <c r="M194" s="3" t="s">
        <v>425</v>
      </c>
      <c r="N194" s="3" t="s">
        <v>425</v>
      </c>
      <c r="O194" s="3" t="s">
        <v>425</v>
      </c>
      <c r="P194" s="3" t="s">
        <v>425</v>
      </c>
      <c r="Q194" s="3" t="s">
        <v>425</v>
      </c>
    </row>
    <row r="195" spans="1:17" x14ac:dyDescent="0.2">
      <c r="A195" s="15">
        <f t="shared" si="2"/>
        <v>193</v>
      </c>
      <c r="B195" s="3" t="s">
        <v>63</v>
      </c>
      <c r="C195" s="3" t="str">
        <f>VLOOKUP(B195,Listas!A$3:C$30,3,0)</f>
        <v>Secretaria Municipal de Educação</v>
      </c>
      <c r="D195" s="3" t="str">
        <f>VLOOKUP(B195,Listas!A$3:C$30,2,0)</f>
        <v>18101</v>
      </c>
      <c r="E195" s="13" t="s">
        <v>313</v>
      </c>
      <c r="F195" s="3" t="s">
        <v>425</v>
      </c>
      <c r="G195" s="3" t="s">
        <v>425</v>
      </c>
      <c r="H195" s="5" t="s">
        <v>425</v>
      </c>
      <c r="I195" s="5"/>
      <c r="J195" s="3" t="s">
        <v>425</v>
      </c>
      <c r="K195" s="12" t="s">
        <v>425</v>
      </c>
      <c r="L195" s="3" t="s">
        <v>425</v>
      </c>
      <c r="M195" s="3" t="s">
        <v>425</v>
      </c>
      <c r="N195" s="3" t="s">
        <v>425</v>
      </c>
      <c r="O195" s="3" t="s">
        <v>425</v>
      </c>
      <c r="P195" s="3" t="s">
        <v>425</v>
      </c>
      <c r="Q195" s="3" t="s">
        <v>425</v>
      </c>
    </row>
    <row r="196" spans="1:17" x14ac:dyDescent="0.2">
      <c r="A196" s="15">
        <f t="shared" si="2"/>
        <v>194</v>
      </c>
      <c r="B196" s="3" t="s">
        <v>63</v>
      </c>
      <c r="C196" s="3" t="str">
        <f>VLOOKUP(B196,Listas!A$3:C$30,3,0)</f>
        <v>Secretaria Municipal de Educação</v>
      </c>
      <c r="D196" s="3" t="str">
        <f>VLOOKUP(B196,Listas!A$3:C$30,2,0)</f>
        <v>18101</v>
      </c>
      <c r="E196" s="13" t="s">
        <v>314</v>
      </c>
      <c r="F196" s="3" t="s">
        <v>425</v>
      </c>
      <c r="G196" s="3" t="s">
        <v>425</v>
      </c>
      <c r="H196" s="5" t="s">
        <v>425</v>
      </c>
      <c r="I196" s="5"/>
      <c r="J196" s="3" t="s">
        <v>425</v>
      </c>
      <c r="K196" s="12" t="s">
        <v>425</v>
      </c>
      <c r="L196" s="3" t="s">
        <v>425</v>
      </c>
      <c r="M196" s="3" t="s">
        <v>425</v>
      </c>
      <c r="N196" s="3" t="s">
        <v>425</v>
      </c>
      <c r="O196" s="3" t="s">
        <v>425</v>
      </c>
      <c r="P196" s="3" t="s">
        <v>425</v>
      </c>
      <c r="Q196" s="3" t="s">
        <v>425</v>
      </c>
    </row>
    <row r="197" spans="1:17" x14ac:dyDescent="0.2">
      <c r="A197" s="15">
        <f t="shared" ref="A197:A260" si="3">A196+1</f>
        <v>195</v>
      </c>
      <c r="B197" s="3" t="s">
        <v>63</v>
      </c>
      <c r="C197" s="3" t="str">
        <f>VLOOKUP(B197,Listas!A$3:C$30,3,0)</f>
        <v>Secretaria Municipal de Educação</v>
      </c>
      <c r="D197" s="3" t="str">
        <f>VLOOKUP(B197,Listas!A$3:C$30,2,0)</f>
        <v>18101</v>
      </c>
      <c r="E197" s="13" t="s">
        <v>315</v>
      </c>
      <c r="F197" s="3" t="s">
        <v>425</v>
      </c>
      <c r="G197" s="3" t="s">
        <v>425</v>
      </c>
      <c r="H197" s="5" t="s">
        <v>425</v>
      </c>
      <c r="I197" s="5"/>
      <c r="J197" s="3" t="s">
        <v>425</v>
      </c>
      <c r="K197" s="12" t="s">
        <v>425</v>
      </c>
      <c r="L197" s="3" t="s">
        <v>425</v>
      </c>
      <c r="M197" s="3" t="s">
        <v>425</v>
      </c>
      <c r="N197" s="3" t="s">
        <v>425</v>
      </c>
      <c r="O197" s="3" t="s">
        <v>425</v>
      </c>
      <c r="P197" s="3" t="s">
        <v>425</v>
      </c>
      <c r="Q197" s="3" t="s">
        <v>425</v>
      </c>
    </row>
    <row r="198" spans="1:17" x14ac:dyDescent="0.2">
      <c r="A198" s="15">
        <f t="shared" si="3"/>
        <v>196</v>
      </c>
      <c r="B198" s="3" t="s">
        <v>63</v>
      </c>
      <c r="C198" s="3" t="str">
        <f>VLOOKUP(B198,Listas!A$3:C$30,3,0)</f>
        <v>Secretaria Municipal de Educação</v>
      </c>
      <c r="D198" s="3" t="str">
        <f>VLOOKUP(B198,Listas!A$3:C$30,2,0)</f>
        <v>18101</v>
      </c>
      <c r="E198" s="13" t="s">
        <v>316</v>
      </c>
      <c r="F198" s="3" t="s">
        <v>425</v>
      </c>
      <c r="G198" s="3" t="s">
        <v>425</v>
      </c>
      <c r="H198" s="5" t="s">
        <v>425</v>
      </c>
      <c r="I198" s="5"/>
      <c r="J198" s="3" t="s">
        <v>425</v>
      </c>
      <c r="K198" s="12" t="s">
        <v>425</v>
      </c>
      <c r="L198" s="3" t="s">
        <v>425</v>
      </c>
      <c r="M198" s="3" t="s">
        <v>425</v>
      </c>
      <c r="N198" s="3" t="s">
        <v>425</v>
      </c>
      <c r="O198" s="3" t="s">
        <v>425</v>
      </c>
      <c r="P198" s="3" t="s">
        <v>425</v>
      </c>
      <c r="Q198" s="3" t="s">
        <v>425</v>
      </c>
    </row>
    <row r="199" spans="1:17" x14ac:dyDescent="0.2">
      <c r="A199" s="15">
        <f t="shared" si="3"/>
        <v>197</v>
      </c>
      <c r="B199" s="3" t="s">
        <v>63</v>
      </c>
      <c r="C199" s="3" t="str">
        <f>VLOOKUP(B199,Listas!A$3:C$30,3,0)</f>
        <v>Secretaria Municipal de Educação</v>
      </c>
      <c r="D199" s="3" t="str">
        <f>VLOOKUP(B199,Listas!A$3:C$30,2,0)</f>
        <v>18101</v>
      </c>
      <c r="E199" s="13" t="s">
        <v>317</v>
      </c>
      <c r="F199" s="3" t="s">
        <v>425</v>
      </c>
      <c r="G199" s="3" t="s">
        <v>425</v>
      </c>
      <c r="H199" s="5" t="s">
        <v>425</v>
      </c>
      <c r="I199" s="5"/>
      <c r="J199" s="3" t="s">
        <v>425</v>
      </c>
      <c r="K199" s="12" t="s">
        <v>425</v>
      </c>
      <c r="L199" s="3" t="s">
        <v>425</v>
      </c>
      <c r="M199" s="3" t="s">
        <v>425</v>
      </c>
      <c r="N199" s="3" t="s">
        <v>425</v>
      </c>
      <c r="O199" s="3" t="s">
        <v>425</v>
      </c>
      <c r="P199" s="3" t="s">
        <v>425</v>
      </c>
      <c r="Q199" s="3" t="s">
        <v>425</v>
      </c>
    </row>
    <row r="200" spans="1:17" x14ac:dyDescent="0.2">
      <c r="A200" s="15">
        <f t="shared" si="3"/>
        <v>198</v>
      </c>
      <c r="B200" s="3" t="s">
        <v>63</v>
      </c>
      <c r="C200" s="3" t="str">
        <f>VLOOKUP(B200,Listas!A$3:C$30,3,0)</f>
        <v>Secretaria Municipal de Educação</v>
      </c>
      <c r="D200" s="3" t="str">
        <f>VLOOKUP(B200,Listas!A$3:C$30,2,0)</f>
        <v>18101</v>
      </c>
      <c r="E200" s="13" t="s">
        <v>318</v>
      </c>
      <c r="F200" s="3" t="s">
        <v>425</v>
      </c>
      <c r="G200" s="3" t="s">
        <v>425</v>
      </c>
      <c r="H200" s="5" t="s">
        <v>425</v>
      </c>
      <c r="I200" s="5"/>
      <c r="J200" s="3" t="s">
        <v>425</v>
      </c>
      <c r="K200" s="12" t="s">
        <v>425</v>
      </c>
      <c r="L200" s="3" t="s">
        <v>425</v>
      </c>
      <c r="M200" s="3" t="s">
        <v>425</v>
      </c>
      <c r="N200" s="3" t="s">
        <v>425</v>
      </c>
      <c r="O200" s="3" t="s">
        <v>425</v>
      </c>
      <c r="P200" s="3" t="s">
        <v>425</v>
      </c>
      <c r="Q200" s="3" t="s">
        <v>425</v>
      </c>
    </row>
    <row r="201" spans="1:17" x14ac:dyDescent="0.2">
      <c r="A201" s="15">
        <f t="shared" si="3"/>
        <v>199</v>
      </c>
      <c r="B201" s="3" t="s">
        <v>63</v>
      </c>
      <c r="C201" s="3" t="str">
        <f>VLOOKUP(B201,Listas!A$3:C$30,3,0)</f>
        <v>Secretaria Municipal de Educação</v>
      </c>
      <c r="D201" s="3" t="str">
        <f>VLOOKUP(B201,Listas!A$3:C$30,2,0)</f>
        <v>18101</v>
      </c>
      <c r="E201" s="13" t="s">
        <v>319</v>
      </c>
      <c r="F201" s="3" t="s">
        <v>425</v>
      </c>
      <c r="G201" s="3" t="s">
        <v>425</v>
      </c>
      <c r="H201" s="5" t="s">
        <v>425</v>
      </c>
      <c r="I201" s="5"/>
      <c r="J201" s="3" t="s">
        <v>425</v>
      </c>
      <c r="K201" s="12" t="s">
        <v>425</v>
      </c>
      <c r="L201" s="3" t="s">
        <v>425</v>
      </c>
      <c r="M201" s="3" t="s">
        <v>425</v>
      </c>
      <c r="N201" s="3" t="s">
        <v>425</v>
      </c>
      <c r="O201" s="3" t="s">
        <v>425</v>
      </c>
      <c r="P201" s="3" t="s">
        <v>425</v>
      </c>
      <c r="Q201" s="3" t="s">
        <v>425</v>
      </c>
    </row>
    <row r="202" spans="1:17" x14ac:dyDescent="0.2">
      <c r="A202" s="15">
        <f t="shared" si="3"/>
        <v>200</v>
      </c>
      <c r="B202" s="3" t="s">
        <v>63</v>
      </c>
      <c r="C202" s="3" t="str">
        <f>VLOOKUP(B202,Listas!A$3:C$30,3,0)</f>
        <v>Secretaria Municipal de Educação</v>
      </c>
      <c r="D202" s="3" t="str">
        <f>VLOOKUP(B202,Listas!A$3:C$30,2,0)</f>
        <v>18101</v>
      </c>
      <c r="E202" s="13" t="s">
        <v>320</v>
      </c>
      <c r="F202" s="3" t="s">
        <v>425</v>
      </c>
      <c r="G202" s="3" t="s">
        <v>425</v>
      </c>
      <c r="H202" s="5" t="s">
        <v>425</v>
      </c>
      <c r="I202" s="5"/>
      <c r="J202" s="3" t="s">
        <v>425</v>
      </c>
      <c r="K202" s="12" t="s">
        <v>425</v>
      </c>
      <c r="L202" s="3" t="s">
        <v>425</v>
      </c>
      <c r="M202" s="3" t="s">
        <v>425</v>
      </c>
      <c r="N202" s="3" t="s">
        <v>425</v>
      </c>
      <c r="O202" s="3" t="s">
        <v>425</v>
      </c>
      <c r="P202" s="3" t="s">
        <v>425</v>
      </c>
      <c r="Q202" s="3" t="s">
        <v>425</v>
      </c>
    </row>
    <row r="203" spans="1:17" x14ac:dyDescent="0.2">
      <c r="A203" s="15">
        <f t="shared" si="3"/>
        <v>201</v>
      </c>
      <c r="B203" s="3" t="s">
        <v>63</v>
      </c>
      <c r="C203" s="3" t="str">
        <f>VLOOKUP(B203,Listas!A$3:C$30,3,0)</f>
        <v>Secretaria Municipal de Educação</v>
      </c>
      <c r="D203" s="3" t="str">
        <f>VLOOKUP(B203,Listas!A$3:C$30,2,0)</f>
        <v>18101</v>
      </c>
      <c r="E203" s="13" t="s">
        <v>321</v>
      </c>
      <c r="F203" s="3" t="s">
        <v>425</v>
      </c>
      <c r="G203" s="3" t="s">
        <v>425</v>
      </c>
      <c r="H203" s="5" t="s">
        <v>425</v>
      </c>
      <c r="I203" s="5"/>
      <c r="J203" s="3" t="s">
        <v>425</v>
      </c>
      <c r="K203" s="12" t="s">
        <v>425</v>
      </c>
      <c r="L203" s="3" t="s">
        <v>425</v>
      </c>
      <c r="M203" s="3" t="s">
        <v>425</v>
      </c>
      <c r="N203" s="3" t="s">
        <v>425</v>
      </c>
      <c r="O203" s="3" t="s">
        <v>425</v>
      </c>
      <c r="P203" s="3" t="s">
        <v>425</v>
      </c>
      <c r="Q203" s="3" t="s">
        <v>425</v>
      </c>
    </row>
    <row r="204" spans="1:17" x14ac:dyDescent="0.2">
      <c r="A204" s="15">
        <f t="shared" si="3"/>
        <v>202</v>
      </c>
      <c r="B204" s="3" t="s">
        <v>63</v>
      </c>
      <c r="C204" s="3" t="str">
        <f>VLOOKUP(B204,Listas!A$3:C$30,3,0)</f>
        <v>Secretaria Municipal de Educação</v>
      </c>
      <c r="D204" s="3" t="str">
        <f>VLOOKUP(B204,Listas!A$3:C$30,2,0)</f>
        <v>18101</v>
      </c>
      <c r="E204" s="13" t="s">
        <v>322</v>
      </c>
      <c r="F204" s="3" t="s">
        <v>425</v>
      </c>
      <c r="G204" s="3" t="s">
        <v>425</v>
      </c>
      <c r="H204" s="5" t="s">
        <v>425</v>
      </c>
      <c r="I204" s="5"/>
      <c r="J204" s="3" t="s">
        <v>425</v>
      </c>
      <c r="K204" s="12" t="s">
        <v>425</v>
      </c>
      <c r="L204" s="3" t="s">
        <v>425</v>
      </c>
      <c r="M204" s="3" t="s">
        <v>425</v>
      </c>
      <c r="N204" s="3" t="s">
        <v>425</v>
      </c>
      <c r="O204" s="3" t="s">
        <v>425</v>
      </c>
      <c r="P204" s="3" t="s">
        <v>425</v>
      </c>
      <c r="Q204" s="3" t="s">
        <v>425</v>
      </c>
    </row>
    <row r="205" spans="1:17" x14ac:dyDescent="0.2">
      <c r="A205" s="15">
        <f t="shared" si="3"/>
        <v>203</v>
      </c>
      <c r="B205" s="3" t="s">
        <v>63</v>
      </c>
      <c r="C205" s="3" t="str">
        <f>VLOOKUP(B205,Listas!A$3:C$30,3,0)</f>
        <v>Secretaria Municipal de Educação</v>
      </c>
      <c r="D205" s="3" t="str">
        <f>VLOOKUP(B205,Listas!A$3:C$30,2,0)</f>
        <v>18101</v>
      </c>
      <c r="E205" s="13" t="s">
        <v>323</v>
      </c>
      <c r="F205" s="3" t="s">
        <v>425</v>
      </c>
      <c r="G205" s="3" t="s">
        <v>425</v>
      </c>
      <c r="H205" s="5" t="s">
        <v>425</v>
      </c>
      <c r="I205" s="5"/>
      <c r="J205" s="3" t="s">
        <v>425</v>
      </c>
      <c r="K205" s="12" t="s">
        <v>425</v>
      </c>
      <c r="L205" s="3" t="s">
        <v>425</v>
      </c>
      <c r="M205" s="3" t="s">
        <v>425</v>
      </c>
      <c r="N205" s="3" t="s">
        <v>425</v>
      </c>
      <c r="O205" s="3" t="s">
        <v>425</v>
      </c>
      <c r="P205" s="3" t="s">
        <v>425</v>
      </c>
      <c r="Q205" s="3" t="s">
        <v>425</v>
      </c>
    </row>
    <row r="206" spans="1:17" x14ac:dyDescent="0.2">
      <c r="A206" s="15">
        <f t="shared" si="3"/>
        <v>204</v>
      </c>
      <c r="B206" s="3" t="s">
        <v>63</v>
      </c>
      <c r="C206" s="3" t="str">
        <f>VLOOKUP(B206,Listas!A$3:C$30,3,0)</f>
        <v>Secretaria Municipal de Educação</v>
      </c>
      <c r="D206" s="3" t="str">
        <f>VLOOKUP(B206,Listas!A$3:C$30,2,0)</f>
        <v>18101</v>
      </c>
      <c r="E206" s="13" t="s">
        <v>324</v>
      </c>
      <c r="F206" s="3" t="s">
        <v>425</v>
      </c>
      <c r="G206" s="3" t="s">
        <v>425</v>
      </c>
      <c r="H206" s="5" t="s">
        <v>425</v>
      </c>
      <c r="I206" s="5"/>
      <c r="J206" s="3" t="s">
        <v>425</v>
      </c>
      <c r="K206" s="12" t="s">
        <v>425</v>
      </c>
      <c r="L206" s="3" t="s">
        <v>425</v>
      </c>
      <c r="M206" s="3" t="s">
        <v>425</v>
      </c>
      <c r="N206" s="3" t="s">
        <v>425</v>
      </c>
      <c r="O206" s="3" t="s">
        <v>425</v>
      </c>
      <c r="P206" s="3" t="s">
        <v>425</v>
      </c>
      <c r="Q206" s="3" t="s">
        <v>425</v>
      </c>
    </row>
    <row r="207" spans="1:17" x14ac:dyDescent="0.2">
      <c r="A207" s="15">
        <f t="shared" si="3"/>
        <v>205</v>
      </c>
      <c r="B207" s="3" t="s">
        <v>63</v>
      </c>
      <c r="C207" s="3" t="str">
        <f>VLOOKUP(B207,Listas!A$3:C$30,3,0)</f>
        <v>Secretaria Municipal de Educação</v>
      </c>
      <c r="D207" s="3" t="str">
        <f>VLOOKUP(B207,Listas!A$3:C$30,2,0)</f>
        <v>18101</v>
      </c>
      <c r="E207" s="13" t="s">
        <v>325</v>
      </c>
      <c r="F207" s="3" t="s">
        <v>425</v>
      </c>
      <c r="G207" s="3" t="s">
        <v>425</v>
      </c>
      <c r="H207" s="5" t="s">
        <v>425</v>
      </c>
      <c r="I207" s="5"/>
      <c r="J207" s="3" t="s">
        <v>425</v>
      </c>
      <c r="K207" s="12" t="s">
        <v>425</v>
      </c>
      <c r="L207" s="3" t="s">
        <v>425</v>
      </c>
      <c r="M207" s="3" t="s">
        <v>425</v>
      </c>
      <c r="N207" s="3" t="s">
        <v>425</v>
      </c>
      <c r="O207" s="3" t="s">
        <v>425</v>
      </c>
      <c r="P207" s="3" t="s">
        <v>425</v>
      </c>
      <c r="Q207" s="3" t="s">
        <v>425</v>
      </c>
    </row>
    <row r="208" spans="1:17" x14ac:dyDescent="0.2">
      <c r="A208" s="15">
        <f t="shared" si="3"/>
        <v>206</v>
      </c>
      <c r="B208" s="3" t="s">
        <v>63</v>
      </c>
      <c r="C208" s="3" t="str">
        <f>VLOOKUP(B208,Listas!A$3:C$30,3,0)</f>
        <v>Secretaria Municipal de Educação</v>
      </c>
      <c r="D208" s="3" t="str">
        <f>VLOOKUP(B208,Listas!A$3:C$30,2,0)</f>
        <v>18101</v>
      </c>
      <c r="E208" s="13" t="s">
        <v>326</v>
      </c>
      <c r="F208" s="3" t="s">
        <v>425</v>
      </c>
      <c r="G208" s="3" t="s">
        <v>425</v>
      </c>
      <c r="H208" s="5" t="s">
        <v>425</v>
      </c>
      <c r="I208" s="5"/>
      <c r="J208" s="3" t="s">
        <v>425</v>
      </c>
      <c r="K208" s="12" t="s">
        <v>425</v>
      </c>
      <c r="L208" s="3" t="s">
        <v>425</v>
      </c>
      <c r="M208" s="3" t="s">
        <v>425</v>
      </c>
      <c r="N208" s="3" t="s">
        <v>425</v>
      </c>
      <c r="O208" s="3" t="s">
        <v>425</v>
      </c>
      <c r="P208" s="3" t="s">
        <v>425</v>
      </c>
      <c r="Q208" s="3" t="s">
        <v>425</v>
      </c>
    </row>
    <row r="209" spans="1:17" x14ac:dyDescent="0.2">
      <c r="A209" s="15">
        <f t="shared" si="3"/>
        <v>207</v>
      </c>
      <c r="B209" s="3" t="s">
        <v>63</v>
      </c>
      <c r="C209" s="3" t="str">
        <f>VLOOKUP(B209,Listas!A$3:C$30,3,0)</f>
        <v>Secretaria Municipal de Educação</v>
      </c>
      <c r="D209" s="3" t="str">
        <f>VLOOKUP(B209,Listas!A$3:C$30,2,0)</f>
        <v>18101</v>
      </c>
      <c r="E209" s="13" t="s">
        <v>327</v>
      </c>
      <c r="F209" s="3" t="s">
        <v>425</v>
      </c>
      <c r="G209" s="3" t="s">
        <v>425</v>
      </c>
      <c r="H209" s="5" t="s">
        <v>425</v>
      </c>
      <c r="I209" s="5"/>
      <c r="J209" s="3" t="s">
        <v>425</v>
      </c>
      <c r="K209" s="12" t="s">
        <v>425</v>
      </c>
      <c r="L209" s="3" t="s">
        <v>425</v>
      </c>
      <c r="M209" s="3" t="s">
        <v>425</v>
      </c>
      <c r="N209" s="3" t="s">
        <v>425</v>
      </c>
      <c r="O209" s="3" t="s">
        <v>425</v>
      </c>
      <c r="P209" s="3" t="s">
        <v>425</v>
      </c>
      <c r="Q209" s="3" t="s">
        <v>425</v>
      </c>
    </row>
    <row r="210" spans="1:17" x14ac:dyDescent="0.2">
      <c r="A210" s="15">
        <f t="shared" si="3"/>
        <v>208</v>
      </c>
      <c r="B210" s="3" t="s">
        <v>63</v>
      </c>
      <c r="C210" s="3" t="str">
        <f>VLOOKUP(B210,Listas!A$3:C$30,3,0)</f>
        <v>Secretaria Municipal de Educação</v>
      </c>
      <c r="D210" s="3" t="str">
        <f>VLOOKUP(B210,Listas!A$3:C$30,2,0)</f>
        <v>18101</v>
      </c>
      <c r="E210" s="13" t="s">
        <v>328</v>
      </c>
      <c r="F210" s="3" t="s">
        <v>425</v>
      </c>
      <c r="G210" s="3" t="s">
        <v>425</v>
      </c>
      <c r="H210" s="5" t="s">
        <v>425</v>
      </c>
      <c r="I210" s="5"/>
      <c r="J210" s="3" t="s">
        <v>425</v>
      </c>
      <c r="K210" s="12" t="s">
        <v>425</v>
      </c>
      <c r="L210" s="3" t="s">
        <v>425</v>
      </c>
      <c r="M210" s="3" t="s">
        <v>425</v>
      </c>
      <c r="N210" s="3" t="s">
        <v>425</v>
      </c>
      <c r="O210" s="3" t="s">
        <v>425</v>
      </c>
      <c r="P210" s="3" t="s">
        <v>425</v>
      </c>
      <c r="Q210" s="3" t="s">
        <v>425</v>
      </c>
    </row>
    <row r="211" spans="1:17" x14ac:dyDescent="0.2">
      <c r="A211" s="15">
        <f t="shared" si="3"/>
        <v>209</v>
      </c>
      <c r="B211" s="3" t="s">
        <v>63</v>
      </c>
      <c r="C211" s="3" t="str">
        <f>VLOOKUP(B211,Listas!A$3:C$30,3,0)</f>
        <v>Secretaria Municipal de Educação</v>
      </c>
      <c r="D211" s="3" t="str">
        <f>VLOOKUP(B211,Listas!A$3:C$30,2,0)</f>
        <v>18101</v>
      </c>
      <c r="E211" s="13" t="s">
        <v>329</v>
      </c>
      <c r="F211" s="3" t="s">
        <v>425</v>
      </c>
      <c r="G211" s="3" t="s">
        <v>425</v>
      </c>
      <c r="H211" s="5" t="s">
        <v>425</v>
      </c>
      <c r="I211" s="5"/>
      <c r="J211" s="3" t="s">
        <v>425</v>
      </c>
      <c r="K211" s="12" t="s">
        <v>425</v>
      </c>
      <c r="L211" s="3" t="s">
        <v>425</v>
      </c>
      <c r="M211" s="3" t="s">
        <v>425</v>
      </c>
      <c r="N211" s="3" t="s">
        <v>425</v>
      </c>
      <c r="O211" s="3" t="s">
        <v>425</v>
      </c>
      <c r="P211" s="3" t="s">
        <v>425</v>
      </c>
      <c r="Q211" s="3" t="s">
        <v>425</v>
      </c>
    </row>
    <row r="212" spans="1:17" x14ac:dyDescent="0.2">
      <c r="A212" s="15">
        <f t="shared" si="3"/>
        <v>210</v>
      </c>
      <c r="B212" s="3" t="s">
        <v>63</v>
      </c>
      <c r="C212" s="3" t="str">
        <f>VLOOKUP(B212,Listas!A$3:C$30,3,0)</f>
        <v>Secretaria Municipal de Educação</v>
      </c>
      <c r="D212" s="3" t="str">
        <f>VLOOKUP(B212,Listas!A$3:C$30,2,0)</f>
        <v>18101</v>
      </c>
      <c r="E212" s="13" t="s">
        <v>330</v>
      </c>
      <c r="F212" s="3" t="s">
        <v>425</v>
      </c>
      <c r="G212" s="3" t="s">
        <v>425</v>
      </c>
      <c r="H212" s="5" t="s">
        <v>425</v>
      </c>
      <c r="I212" s="5"/>
      <c r="J212" s="3" t="s">
        <v>425</v>
      </c>
      <c r="K212" s="12" t="s">
        <v>425</v>
      </c>
      <c r="L212" s="3" t="s">
        <v>425</v>
      </c>
      <c r="M212" s="3" t="s">
        <v>425</v>
      </c>
      <c r="N212" s="3" t="s">
        <v>425</v>
      </c>
      <c r="O212" s="3" t="s">
        <v>425</v>
      </c>
      <c r="P212" s="3" t="s">
        <v>425</v>
      </c>
      <c r="Q212" s="3" t="s">
        <v>425</v>
      </c>
    </row>
    <row r="213" spans="1:17" x14ac:dyDescent="0.2">
      <c r="A213" s="15">
        <f t="shared" si="3"/>
        <v>211</v>
      </c>
      <c r="B213" s="3" t="s">
        <v>63</v>
      </c>
      <c r="C213" s="3" t="str">
        <f>VLOOKUP(B213,Listas!A$3:C$30,3,0)</f>
        <v>Secretaria Municipal de Educação</v>
      </c>
      <c r="D213" s="3" t="str">
        <f>VLOOKUP(B213,Listas!A$3:C$30,2,0)</f>
        <v>18101</v>
      </c>
      <c r="E213" s="13" t="s">
        <v>281</v>
      </c>
      <c r="F213" s="3" t="s">
        <v>425</v>
      </c>
      <c r="G213" s="3" t="s">
        <v>425</v>
      </c>
      <c r="H213" s="5" t="s">
        <v>425</v>
      </c>
      <c r="I213" s="5"/>
      <c r="J213" s="3" t="s">
        <v>425</v>
      </c>
      <c r="K213" s="12" t="s">
        <v>425</v>
      </c>
      <c r="L213" s="3" t="s">
        <v>425</v>
      </c>
      <c r="M213" s="3" t="s">
        <v>425</v>
      </c>
      <c r="N213" s="3" t="s">
        <v>425</v>
      </c>
      <c r="O213" s="3" t="s">
        <v>425</v>
      </c>
      <c r="P213" s="3" t="s">
        <v>425</v>
      </c>
      <c r="Q213" s="3" t="s">
        <v>425</v>
      </c>
    </row>
    <row r="214" spans="1:17" x14ac:dyDescent="0.2">
      <c r="A214" s="15">
        <f t="shared" si="3"/>
        <v>212</v>
      </c>
      <c r="B214" s="3" t="s">
        <v>63</v>
      </c>
      <c r="C214" s="3" t="str">
        <f>VLOOKUP(B214,Listas!A$3:C$30,3,0)</f>
        <v>Secretaria Municipal de Educação</v>
      </c>
      <c r="D214" s="3" t="str">
        <f>VLOOKUP(B214,Listas!A$3:C$30,2,0)</f>
        <v>18101</v>
      </c>
      <c r="E214" s="13" t="s">
        <v>331</v>
      </c>
      <c r="F214" s="3" t="s">
        <v>425</v>
      </c>
      <c r="G214" s="3" t="s">
        <v>425</v>
      </c>
      <c r="H214" s="5" t="s">
        <v>425</v>
      </c>
      <c r="I214" s="5"/>
      <c r="J214" s="3" t="s">
        <v>425</v>
      </c>
      <c r="K214" s="12" t="s">
        <v>425</v>
      </c>
      <c r="L214" s="3" t="s">
        <v>425</v>
      </c>
      <c r="M214" s="3" t="s">
        <v>425</v>
      </c>
      <c r="N214" s="3" t="s">
        <v>425</v>
      </c>
      <c r="O214" s="3" t="s">
        <v>425</v>
      </c>
      <c r="P214" s="3" t="s">
        <v>425</v>
      </c>
      <c r="Q214" s="3" t="s">
        <v>425</v>
      </c>
    </row>
    <row r="215" spans="1:17" x14ac:dyDescent="0.2">
      <c r="A215" s="15">
        <f t="shared" si="3"/>
        <v>213</v>
      </c>
      <c r="B215" s="3" t="s">
        <v>63</v>
      </c>
      <c r="C215" s="3" t="str">
        <f>VLOOKUP(B215,Listas!A$3:C$30,3,0)</f>
        <v>Secretaria Municipal de Educação</v>
      </c>
      <c r="D215" s="3" t="str">
        <f>VLOOKUP(B215,Listas!A$3:C$30,2,0)</f>
        <v>18101</v>
      </c>
      <c r="E215" s="13" t="s">
        <v>332</v>
      </c>
      <c r="F215" s="3" t="s">
        <v>425</v>
      </c>
      <c r="G215" s="3" t="s">
        <v>425</v>
      </c>
      <c r="H215" s="5" t="s">
        <v>425</v>
      </c>
      <c r="I215" s="5"/>
      <c r="J215" s="3" t="s">
        <v>425</v>
      </c>
      <c r="K215" s="12" t="s">
        <v>425</v>
      </c>
      <c r="L215" s="3" t="s">
        <v>425</v>
      </c>
      <c r="M215" s="3" t="s">
        <v>425</v>
      </c>
      <c r="N215" s="3" t="s">
        <v>425</v>
      </c>
      <c r="O215" s="3" t="s">
        <v>425</v>
      </c>
      <c r="P215" s="3" t="s">
        <v>425</v>
      </c>
      <c r="Q215" s="3" t="s">
        <v>425</v>
      </c>
    </row>
    <row r="216" spans="1:17" x14ac:dyDescent="0.2">
      <c r="A216" s="15">
        <f t="shared" si="3"/>
        <v>214</v>
      </c>
      <c r="B216" s="3" t="s">
        <v>63</v>
      </c>
      <c r="C216" s="3" t="str">
        <f>VLOOKUP(B216,Listas!A$3:C$30,3,0)</f>
        <v>Secretaria Municipal de Educação</v>
      </c>
      <c r="D216" s="3" t="str">
        <f>VLOOKUP(B216,Listas!A$3:C$30,2,0)</f>
        <v>18101</v>
      </c>
      <c r="E216" s="13" t="s">
        <v>333</v>
      </c>
      <c r="F216" s="3" t="s">
        <v>425</v>
      </c>
      <c r="G216" s="3" t="s">
        <v>425</v>
      </c>
      <c r="H216" s="5" t="s">
        <v>425</v>
      </c>
      <c r="I216" s="5"/>
      <c r="J216" s="3" t="s">
        <v>425</v>
      </c>
      <c r="K216" s="12" t="s">
        <v>425</v>
      </c>
      <c r="L216" s="3" t="s">
        <v>425</v>
      </c>
      <c r="M216" s="3" t="s">
        <v>425</v>
      </c>
      <c r="N216" s="3" t="s">
        <v>425</v>
      </c>
      <c r="O216" s="3" t="s">
        <v>425</v>
      </c>
      <c r="P216" s="3" t="s">
        <v>425</v>
      </c>
      <c r="Q216" s="3" t="s">
        <v>425</v>
      </c>
    </row>
    <row r="217" spans="1:17" x14ac:dyDescent="0.2">
      <c r="A217" s="15">
        <f t="shared" si="3"/>
        <v>215</v>
      </c>
      <c r="B217" s="3" t="s">
        <v>63</v>
      </c>
      <c r="C217" s="3" t="str">
        <f>VLOOKUP(B217,Listas!A$3:C$30,3,0)</f>
        <v>Secretaria Municipal de Educação</v>
      </c>
      <c r="D217" s="3" t="str">
        <f>VLOOKUP(B217,Listas!A$3:C$30,2,0)</f>
        <v>18101</v>
      </c>
      <c r="E217" s="13" t="s">
        <v>334</v>
      </c>
      <c r="F217" s="3" t="s">
        <v>425</v>
      </c>
      <c r="G217" s="3" t="s">
        <v>425</v>
      </c>
      <c r="H217" s="5" t="s">
        <v>425</v>
      </c>
      <c r="I217" s="5"/>
      <c r="J217" s="3" t="s">
        <v>425</v>
      </c>
      <c r="K217" s="12" t="s">
        <v>425</v>
      </c>
      <c r="L217" s="3" t="s">
        <v>425</v>
      </c>
      <c r="M217" s="3" t="s">
        <v>425</v>
      </c>
      <c r="N217" s="3" t="s">
        <v>425</v>
      </c>
      <c r="O217" s="3" t="s">
        <v>425</v>
      </c>
      <c r="P217" s="3" t="s">
        <v>425</v>
      </c>
      <c r="Q217" s="3" t="s">
        <v>425</v>
      </c>
    </row>
    <row r="218" spans="1:17" x14ac:dyDescent="0.2">
      <c r="A218" s="15">
        <f t="shared" si="3"/>
        <v>216</v>
      </c>
      <c r="B218" s="3" t="s">
        <v>63</v>
      </c>
      <c r="C218" s="3" t="str">
        <f>VLOOKUP(B218,Listas!A$3:C$30,3,0)</f>
        <v>Secretaria Municipal de Educação</v>
      </c>
      <c r="D218" s="3" t="str">
        <f>VLOOKUP(B218,Listas!A$3:C$30,2,0)</f>
        <v>18101</v>
      </c>
      <c r="E218" s="13" t="s">
        <v>335</v>
      </c>
      <c r="F218" s="3" t="s">
        <v>425</v>
      </c>
      <c r="G218" s="3" t="s">
        <v>425</v>
      </c>
      <c r="H218" s="5" t="s">
        <v>425</v>
      </c>
      <c r="I218" s="5"/>
      <c r="J218" s="3" t="s">
        <v>425</v>
      </c>
      <c r="K218" s="12" t="s">
        <v>425</v>
      </c>
      <c r="L218" s="3" t="s">
        <v>425</v>
      </c>
      <c r="M218" s="3" t="s">
        <v>425</v>
      </c>
      <c r="N218" s="3" t="s">
        <v>425</v>
      </c>
      <c r="O218" s="3" t="s">
        <v>425</v>
      </c>
      <c r="P218" s="3" t="s">
        <v>425</v>
      </c>
      <c r="Q218" s="3" t="s">
        <v>425</v>
      </c>
    </row>
    <row r="219" spans="1:17" x14ac:dyDescent="0.2">
      <c r="A219" s="15">
        <f t="shared" si="3"/>
        <v>217</v>
      </c>
      <c r="B219" s="3" t="s">
        <v>63</v>
      </c>
      <c r="C219" s="3" t="str">
        <f>VLOOKUP(B219,Listas!A$3:C$30,3,0)</f>
        <v>Secretaria Municipal de Educação</v>
      </c>
      <c r="D219" s="3" t="str">
        <f>VLOOKUP(B219,Listas!A$3:C$30,2,0)</f>
        <v>18101</v>
      </c>
      <c r="E219" s="13" t="s">
        <v>336</v>
      </c>
      <c r="F219" s="3" t="s">
        <v>425</v>
      </c>
      <c r="G219" s="3" t="s">
        <v>425</v>
      </c>
      <c r="H219" s="5" t="s">
        <v>425</v>
      </c>
      <c r="I219" s="5"/>
      <c r="J219" s="3" t="s">
        <v>425</v>
      </c>
      <c r="K219" s="12" t="s">
        <v>425</v>
      </c>
      <c r="L219" s="3" t="s">
        <v>425</v>
      </c>
      <c r="M219" s="3" t="s">
        <v>425</v>
      </c>
      <c r="N219" s="3" t="s">
        <v>425</v>
      </c>
      <c r="O219" s="3" t="s">
        <v>425</v>
      </c>
      <c r="P219" s="3" t="s">
        <v>425</v>
      </c>
      <c r="Q219" s="3" t="s">
        <v>425</v>
      </c>
    </row>
    <row r="220" spans="1:17" x14ac:dyDescent="0.2">
      <c r="A220" s="15">
        <f t="shared" si="3"/>
        <v>218</v>
      </c>
      <c r="B220" s="3" t="s">
        <v>63</v>
      </c>
      <c r="C220" s="3" t="str">
        <f>VLOOKUP(B220,Listas!A$3:C$30,3,0)</f>
        <v>Secretaria Municipal de Educação</v>
      </c>
      <c r="D220" s="3" t="str">
        <f>VLOOKUP(B220,Listas!A$3:C$30,2,0)</f>
        <v>18101</v>
      </c>
      <c r="E220" s="13" t="s">
        <v>337</v>
      </c>
      <c r="F220" s="3" t="s">
        <v>425</v>
      </c>
      <c r="G220" s="3" t="s">
        <v>425</v>
      </c>
      <c r="H220" s="5" t="s">
        <v>425</v>
      </c>
      <c r="I220" s="5"/>
      <c r="J220" s="3" t="s">
        <v>425</v>
      </c>
      <c r="K220" s="12" t="s">
        <v>425</v>
      </c>
      <c r="L220" s="3" t="s">
        <v>425</v>
      </c>
      <c r="M220" s="3" t="s">
        <v>425</v>
      </c>
      <c r="N220" s="3" t="s">
        <v>425</v>
      </c>
      <c r="O220" s="3" t="s">
        <v>425</v>
      </c>
      <c r="P220" s="3" t="s">
        <v>425</v>
      </c>
      <c r="Q220" s="3" t="s">
        <v>425</v>
      </c>
    </row>
    <row r="221" spans="1:17" x14ac:dyDescent="0.2">
      <c r="A221" s="15">
        <f t="shared" si="3"/>
        <v>219</v>
      </c>
      <c r="B221" s="3" t="s">
        <v>63</v>
      </c>
      <c r="C221" s="3" t="str">
        <f>VLOOKUP(B221,Listas!A$3:C$30,3,0)</f>
        <v>Secretaria Municipal de Educação</v>
      </c>
      <c r="D221" s="3" t="str">
        <f>VLOOKUP(B221,Listas!A$3:C$30,2,0)</f>
        <v>18101</v>
      </c>
      <c r="E221" s="13" t="s">
        <v>338</v>
      </c>
      <c r="F221" s="3" t="s">
        <v>425</v>
      </c>
      <c r="G221" s="3" t="s">
        <v>425</v>
      </c>
      <c r="H221" s="5" t="s">
        <v>425</v>
      </c>
      <c r="I221" s="5"/>
      <c r="J221" s="3" t="s">
        <v>425</v>
      </c>
      <c r="K221" s="12" t="s">
        <v>425</v>
      </c>
      <c r="L221" s="3" t="s">
        <v>425</v>
      </c>
      <c r="M221" s="3" t="s">
        <v>425</v>
      </c>
      <c r="N221" s="3" t="s">
        <v>425</v>
      </c>
      <c r="O221" s="3" t="s">
        <v>425</v>
      </c>
      <c r="P221" s="3" t="s">
        <v>425</v>
      </c>
      <c r="Q221" s="3" t="s">
        <v>425</v>
      </c>
    </row>
    <row r="222" spans="1:17" x14ac:dyDescent="0.2">
      <c r="A222" s="15">
        <f t="shared" si="3"/>
        <v>220</v>
      </c>
      <c r="B222" s="3" t="s">
        <v>63</v>
      </c>
      <c r="C222" s="3" t="str">
        <f>VLOOKUP(B222,Listas!A$3:C$30,3,0)</f>
        <v>Secretaria Municipal de Educação</v>
      </c>
      <c r="D222" s="3" t="str">
        <f>VLOOKUP(B222,Listas!A$3:C$30,2,0)</f>
        <v>18101</v>
      </c>
      <c r="E222" s="13" t="s">
        <v>339</v>
      </c>
      <c r="F222" s="3" t="s">
        <v>425</v>
      </c>
      <c r="G222" s="3" t="s">
        <v>425</v>
      </c>
      <c r="H222" s="5" t="s">
        <v>425</v>
      </c>
      <c r="I222" s="5"/>
      <c r="J222" s="3" t="s">
        <v>425</v>
      </c>
      <c r="K222" s="12" t="s">
        <v>425</v>
      </c>
      <c r="L222" s="3" t="s">
        <v>425</v>
      </c>
      <c r="M222" s="3" t="s">
        <v>425</v>
      </c>
      <c r="N222" s="3" t="s">
        <v>425</v>
      </c>
      <c r="O222" s="3" t="s">
        <v>425</v>
      </c>
      <c r="P222" s="3" t="s">
        <v>425</v>
      </c>
      <c r="Q222" s="3" t="s">
        <v>425</v>
      </c>
    </row>
    <row r="223" spans="1:17" x14ac:dyDescent="0.2">
      <c r="A223" s="15">
        <f t="shared" si="3"/>
        <v>221</v>
      </c>
      <c r="B223" s="3" t="s">
        <v>63</v>
      </c>
      <c r="C223" s="3" t="str">
        <f>VLOOKUP(B223,Listas!A$3:C$30,3,0)</f>
        <v>Secretaria Municipal de Educação</v>
      </c>
      <c r="D223" s="3" t="str">
        <f>VLOOKUP(B223,Listas!A$3:C$30,2,0)</f>
        <v>18101</v>
      </c>
      <c r="E223" s="13" t="s">
        <v>340</v>
      </c>
      <c r="F223" s="3" t="s">
        <v>425</v>
      </c>
      <c r="G223" s="3" t="s">
        <v>425</v>
      </c>
      <c r="H223" s="5" t="s">
        <v>425</v>
      </c>
      <c r="I223" s="5"/>
      <c r="J223" s="3" t="s">
        <v>425</v>
      </c>
      <c r="K223" s="12" t="s">
        <v>425</v>
      </c>
      <c r="L223" s="3" t="s">
        <v>425</v>
      </c>
      <c r="M223" s="3" t="s">
        <v>425</v>
      </c>
      <c r="N223" s="3" t="s">
        <v>425</v>
      </c>
      <c r="O223" s="3" t="s">
        <v>425</v>
      </c>
      <c r="P223" s="3" t="s">
        <v>425</v>
      </c>
      <c r="Q223" s="3" t="s">
        <v>425</v>
      </c>
    </row>
    <row r="224" spans="1:17" x14ac:dyDescent="0.2">
      <c r="A224" s="15">
        <f t="shared" si="3"/>
        <v>222</v>
      </c>
      <c r="B224" s="3" t="s">
        <v>63</v>
      </c>
      <c r="C224" s="3" t="str">
        <f>VLOOKUP(B224,Listas!A$3:C$30,3,0)</f>
        <v>Secretaria Municipal de Educação</v>
      </c>
      <c r="D224" s="3" t="str">
        <f>VLOOKUP(B224,Listas!A$3:C$30,2,0)</f>
        <v>18101</v>
      </c>
      <c r="E224" s="13" t="s">
        <v>341</v>
      </c>
      <c r="F224" s="3" t="s">
        <v>425</v>
      </c>
      <c r="G224" s="3" t="s">
        <v>425</v>
      </c>
      <c r="H224" s="5" t="s">
        <v>425</v>
      </c>
      <c r="I224" s="5"/>
      <c r="J224" s="3" t="s">
        <v>425</v>
      </c>
      <c r="K224" s="12" t="s">
        <v>425</v>
      </c>
      <c r="L224" s="3" t="s">
        <v>425</v>
      </c>
      <c r="M224" s="3" t="s">
        <v>425</v>
      </c>
      <c r="N224" s="3" t="s">
        <v>425</v>
      </c>
      <c r="O224" s="3" t="s">
        <v>425</v>
      </c>
      <c r="P224" s="3" t="s">
        <v>425</v>
      </c>
      <c r="Q224" s="3" t="s">
        <v>425</v>
      </c>
    </row>
    <row r="225" spans="1:17" x14ac:dyDescent="0.2">
      <c r="A225" s="15">
        <f t="shared" si="3"/>
        <v>223</v>
      </c>
      <c r="B225" s="3" t="s">
        <v>63</v>
      </c>
      <c r="C225" s="3" t="str">
        <f>VLOOKUP(B225,Listas!A$3:C$30,3,0)</f>
        <v>Secretaria Municipal de Educação</v>
      </c>
      <c r="D225" s="3" t="str">
        <f>VLOOKUP(B225,Listas!A$3:C$30,2,0)</f>
        <v>18101</v>
      </c>
      <c r="E225" s="13" t="s">
        <v>342</v>
      </c>
      <c r="F225" s="3" t="s">
        <v>425</v>
      </c>
      <c r="G225" s="3" t="s">
        <v>425</v>
      </c>
      <c r="H225" s="5" t="s">
        <v>425</v>
      </c>
      <c r="I225" s="5"/>
      <c r="J225" s="3" t="s">
        <v>425</v>
      </c>
      <c r="K225" s="12" t="s">
        <v>425</v>
      </c>
      <c r="L225" s="3" t="s">
        <v>425</v>
      </c>
      <c r="M225" s="3" t="s">
        <v>425</v>
      </c>
      <c r="N225" s="3" t="s">
        <v>425</v>
      </c>
      <c r="O225" s="3" t="s">
        <v>425</v>
      </c>
      <c r="P225" s="3" t="s">
        <v>425</v>
      </c>
      <c r="Q225" s="3" t="s">
        <v>425</v>
      </c>
    </row>
    <row r="226" spans="1:17" x14ac:dyDescent="0.2">
      <c r="A226" s="15">
        <f t="shared" si="3"/>
        <v>224</v>
      </c>
      <c r="B226" s="3" t="s">
        <v>63</v>
      </c>
      <c r="C226" s="3" t="str">
        <f>VLOOKUP(B226,Listas!A$3:C$30,3,0)</f>
        <v>Secretaria Municipal de Educação</v>
      </c>
      <c r="D226" s="3" t="str">
        <f>VLOOKUP(B226,Listas!A$3:C$30,2,0)</f>
        <v>18101</v>
      </c>
      <c r="E226" s="13" t="s">
        <v>343</v>
      </c>
      <c r="F226" s="3" t="s">
        <v>425</v>
      </c>
      <c r="G226" s="3" t="s">
        <v>425</v>
      </c>
      <c r="H226" s="5" t="s">
        <v>425</v>
      </c>
      <c r="I226" s="5"/>
      <c r="J226" s="3" t="s">
        <v>425</v>
      </c>
      <c r="K226" s="12" t="s">
        <v>425</v>
      </c>
      <c r="L226" s="3" t="s">
        <v>425</v>
      </c>
      <c r="M226" s="3" t="s">
        <v>425</v>
      </c>
      <c r="N226" s="3" t="s">
        <v>425</v>
      </c>
      <c r="O226" s="3" t="s">
        <v>425</v>
      </c>
      <c r="P226" s="3" t="s">
        <v>425</v>
      </c>
      <c r="Q226" s="3" t="s">
        <v>425</v>
      </c>
    </row>
    <row r="227" spans="1:17" x14ac:dyDescent="0.2">
      <c r="A227" s="15">
        <f t="shared" si="3"/>
        <v>225</v>
      </c>
      <c r="B227" s="3" t="s">
        <v>63</v>
      </c>
      <c r="C227" s="3" t="str">
        <f>VLOOKUP(B227,Listas!A$3:C$30,3,0)</f>
        <v>Secretaria Municipal de Educação</v>
      </c>
      <c r="D227" s="3" t="str">
        <f>VLOOKUP(B227,Listas!A$3:C$30,2,0)</f>
        <v>18101</v>
      </c>
      <c r="E227" s="13" t="s">
        <v>190</v>
      </c>
      <c r="F227" s="3" t="s">
        <v>425</v>
      </c>
      <c r="G227" s="3" t="s">
        <v>425</v>
      </c>
      <c r="H227" s="5" t="s">
        <v>425</v>
      </c>
      <c r="I227" s="5"/>
      <c r="J227" s="3" t="s">
        <v>425</v>
      </c>
      <c r="K227" s="12" t="s">
        <v>425</v>
      </c>
      <c r="L227" s="3" t="s">
        <v>425</v>
      </c>
      <c r="M227" s="3" t="s">
        <v>425</v>
      </c>
      <c r="N227" s="3" t="s">
        <v>425</v>
      </c>
      <c r="O227" s="3" t="s">
        <v>425</v>
      </c>
      <c r="P227" s="3" t="s">
        <v>425</v>
      </c>
      <c r="Q227" s="3" t="s">
        <v>425</v>
      </c>
    </row>
    <row r="228" spans="1:17" x14ac:dyDescent="0.2">
      <c r="A228" s="15">
        <f t="shared" si="3"/>
        <v>226</v>
      </c>
      <c r="B228" s="3" t="s">
        <v>63</v>
      </c>
      <c r="C228" s="3" t="str">
        <f>VLOOKUP(B228,Listas!A$3:C$30,3,0)</f>
        <v>Secretaria Municipal de Educação</v>
      </c>
      <c r="D228" s="3" t="str">
        <f>VLOOKUP(B228,Listas!A$3:C$30,2,0)</f>
        <v>18101</v>
      </c>
      <c r="E228" s="13" t="s">
        <v>344</v>
      </c>
      <c r="F228" s="3" t="s">
        <v>425</v>
      </c>
      <c r="G228" s="3" t="s">
        <v>425</v>
      </c>
      <c r="H228" s="5" t="s">
        <v>425</v>
      </c>
      <c r="I228" s="5"/>
      <c r="J228" s="3" t="s">
        <v>425</v>
      </c>
      <c r="K228" s="12" t="s">
        <v>425</v>
      </c>
      <c r="L228" s="3" t="s">
        <v>425</v>
      </c>
      <c r="M228" s="3" t="s">
        <v>425</v>
      </c>
      <c r="N228" s="3" t="s">
        <v>425</v>
      </c>
      <c r="O228" s="3" t="s">
        <v>425</v>
      </c>
      <c r="P228" s="3" t="s">
        <v>425</v>
      </c>
      <c r="Q228" s="3" t="s">
        <v>425</v>
      </c>
    </row>
    <row r="229" spans="1:17" x14ac:dyDescent="0.2">
      <c r="A229" s="15">
        <f t="shared" si="3"/>
        <v>227</v>
      </c>
      <c r="B229" s="3" t="s">
        <v>63</v>
      </c>
      <c r="C229" s="3" t="str">
        <f>VLOOKUP(B229,Listas!A$3:C$30,3,0)</f>
        <v>Secretaria Municipal de Educação</v>
      </c>
      <c r="D229" s="3" t="str">
        <f>VLOOKUP(B229,Listas!A$3:C$30,2,0)</f>
        <v>18101</v>
      </c>
      <c r="E229" s="13" t="s">
        <v>345</v>
      </c>
      <c r="F229" s="3" t="s">
        <v>425</v>
      </c>
      <c r="G229" s="3" t="s">
        <v>425</v>
      </c>
      <c r="H229" s="5" t="s">
        <v>425</v>
      </c>
      <c r="I229" s="5"/>
      <c r="J229" s="3" t="s">
        <v>425</v>
      </c>
      <c r="K229" s="12" t="s">
        <v>425</v>
      </c>
      <c r="L229" s="3" t="s">
        <v>425</v>
      </c>
      <c r="M229" s="3" t="s">
        <v>425</v>
      </c>
      <c r="N229" s="3" t="s">
        <v>425</v>
      </c>
      <c r="O229" s="3" t="s">
        <v>425</v>
      </c>
      <c r="P229" s="3" t="s">
        <v>425</v>
      </c>
      <c r="Q229" s="3" t="s">
        <v>425</v>
      </c>
    </row>
    <row r="230" spans="1:17" x14ac:dyDescent="0.2">
      <c r="A230" s="15">
        <f t="shared" si="3"/>
        <v>228</v>
      </c>
      <c r="B230" s="3" t="s">
        <v>63</v>
      </c>
      <c r="C230" s="3" t="str">
        <f>VLOOKUP(B230,Listas!A$3:C$30,3,0)</f>
        <v>Secretaria Municipal de Educação</v>
      </c>
      <c r="D230" s="3" t="str">
        <f>VLOOKUP(B230,Listas!A$3:C$30,2,0)</f>
        <v>18101</v>
      </c>
      <c r="E230" s="13" t="s">
        <v>346</v>
      </c>
      <c r="F230" s="3" t="s">
        <v>425</v>
      </c>
      <c r="G230" s="3" t="s">
        <v>425</v>
      </c>
      <c r="H230" s="5" t="s">
        <v>425</v>
      </c>
      <c r="I230" s="5"/>
      <c r="J230" s="3" t="s">
        <v>425</v>
      </c>
      <c r="K230" s="12" t="s">
        <v>425</v>
      </c>
      <c r="L230" s="3" t="s">
        <v>425</v>
      </c>
      <c r="M230" s="3" t="s">
        <v>425</v>
      </c>
      <c r="N230" s="3" t="s">
        <v>425</v>
      </c>
      <c r="O230" s="3" t="s">
        <v>425</v>
      </c>
      <c r="P230" s="3" t="s">
        <v>425</v>
      </c>
      <c r="Q230" s="3" t="s">
        <v>425</v>
      </c>
    </row>
    <row r="231" spans="1:17" x14ac:dyDescent="0.2">
      <c r="A231" s="15">
        <f t="shared" si="3"/>
        <v>229</v>
      </c>
      <c r="B231" s="3" t="s">
        <v>63</v>
      </c>
      <c r="C231" s="3" t="str">
        <f>VLOOKUP(B231,Listas!A$3:C$30,3,0)</f>
        <v>Secretaria Municipal de Educação</v>
      </c>
      <c r="D231" s="3" t="str">
        <f>VLOOKUP(B231,Listas!A$3:C$30,2,0)</f>
        <v>18101</v>
      </c>
      <c r="E231" s="13" t="s">
        <v>347</v>
      </c>
      <c r="F231" s="3" t="s">
        <v>425</v>
      </c>
      <c r="G231" s="3" t="s">
        <v>425</v>
      </c>
      <c r="H231" s="5" t="s">
        <v>425</v>
      </c>
      <c r="I231" s="5"/>
      <c r="J231" s="3" t="s">
        <v>425</v>
      </c>
      <c r="K231" s="12" t="s">
        <v>425</v>
      </c>
      <c r="L231" s="3" t="s">
        <v>425</v>
      </c>
      <c r="M231" s="3" t="s">
        <v>425</v>
      </c>
      <c r="N231" s="3" t="s">
        <v>425</v>
      </c>
      <c r="O231" s="3" t="s">
        <v>425</v>
      </c>
      <c r="P231" s="3" t="s">
        <v>425</v>
      </c>
      <c r="Q231" s="3" t="s">
        <v>425</v>
      </c>
    </row>
    <row r="232" spans="1:17" x14ac:dyDescent="0.2">
      <c r="A232" s="15">
        <f t="shared" si="3"/>
        <v>230</v>
      </c>
      <c r="B232" s="3" t="s">
        <v>63</v>
      </c>
      <c r="C232" s="3" t="str">
        <f>VLOOKUP(B232,Listas!A$3:C$30,3,0)</f>
        <v>Secretaria Municipal de Educação</v>
      </c>
      <c r="D232" s="3" t="str">
        <f>VLOOKUP(B232,Listas!A$3:C$30,2,0)</f>
        <v>18101</v>
      </c>
      <c r="E232" s="13" t="s">
        <v>348</v>
      </c>
      <c r="F232" s="3" t="s">
        <v>425</v>
      </c>
      <c r="G232" s="3" t="s">
        <v>425</v>
      </c>
      <c r="H232" s="5" t="s">
        <v>425</v>
      </c>
      <c r="I232" s="5"/>
      <c r="J232" s="3" t="s">
        <v>425</v>
      </c>
      <c r="K232" s="12" t="s">
        <v>425</v>
      </c>
      <c r="L232" s="3" t="s">
        <v>425</v>
      </c>
      <c r="M232" s="3" t="s">
        <v>425</v>
      </c>
      <c r="N232" s="3" t="s">
        <v>425</v>
      </c>
      <c r="O232" s="3" t="s">
        <v>425</v>
      </c>
      <c r="P232" s="3" t="s">
        <v>425</v>
      </c>
      <c r="Q232" s="3" t="s">
        <v>425</v>
      </c>
    </row>
    <row r="233" spans="1:17" x14ac:dyDescent="0.2">
      <c r="A233" s="15">
        <f t="shared" si="3"/>
        <v>231</v>
      </c>
      <c r="B233" s="3" t="s">
        <v>63</v>
      </c>
      <c r="C233" s="3" t="str">
        <f>VLOOKUP(B233,Listas!A$3:C$30,3,0)</f>
        <v>Secretaria Municipal de Educação</v>
      </c>
      <c r="D233" s="3" t="str">
        <f>VLOOKUP(B233,Listas!A$3:C$30,2,0)</f>
        <v>18101</v>
      </c>
      <c r="E233" s="13" t="s">
        <v>349</v>
      </c>
      <c r="F233" s="3" t="s">
        <v>425</v>
      </c>
      <c r="G233" s="3" t="s">
        <v>425</v>
      </c>
      <c r="H233" s="5" t="s">
        <v>425</v>
      </c>
      <c r="I233" s="5"/>
      <c r="J233" s="3" t="s">
        <v>425</v>
      </c>
      <c r="K233" s="12" t="s">
        <v>425</v>
      </c>
      <c r="L233" s="3" t="s">
        <v>425</v>
      </c>
      <c r="M233" s="3" t="s">
        <v>425</v>
      </c>
      <c r="N233" s="3" t="s">
        <v>425</v>
      </c>
      <c r="O233" s="3" t="s">
        <v>425</v>
      </c>
      <c r="P233" s="3" t="s">
        <v>425</v>
      </c>
      <c r="Q233" s="3" t="s">
        <v>425</v>
      </c>
    </row>
    <row r="234" spans="1:17" x14ac:dyDescent="0.2">
      <c r="A234" s="15">
        <f t="shared" si="3"/>
        <v>232</v>
      </c>
      <c r="B234" s="3" t="s">
        <v>63</v>
      </c>
      <c r="C234" s="3" t="str">
        <f>VLOOKUP(B234,Listas!A$3:C$30,3,0)</f>
        <v>Secretaria Municipal de Educação</v>
      </c>
      <c r="D234" s="3" t="str">
        <f>VLOOKUP(B234,Listas!A$3:C$30,2,0)</f>
        <v>18101</v>
      </c>
      <c r="E234" s="13" t="s">
        <v>350</v>
      </c>
      <c r="F234" s="3" t="s">
        <v>425</v>
      </c>
      <c r="G234" s="3" t="s">
        <v>425</v>
      </c>
      <c r="H234" s="5" t="s">
        <v>425</v>
      </c>
      <c r="I234" s="5"/>
      <c r="J234" s="3" t="s">
        <v>425</v>
      </c>
      <c r="K234" s="12" t="s">
        <v>425</v>
      </c>
      <c r="L234" s="3" t="s">
        <v>425</v>
      </c>
      <c r="M234" s="3" t="s">
        <v>425</v>
      </c>
      <c r="N234" s="3" t="s">
        <v>425</v>
      </c>
      <c r="O234" s="3" t="s">
        <v>425</v>
      </c>
      <c r="P234" s="3" t="s">
        <v>425</v>
      </c>
      <c r="Q234" s="3" t="s">
        <v>425</v>
      </c>
    </row>
    <row r="235" spans="1:17" x14ac:dyDescent="0.2">
      <c r="A235" s="15">
        <f t="shared" si="3"/>
        <v>233</v>
      </c>
      <c r="B235" s="3" t="s">
        <v>63</v>
      </c>
      <c r="C235" s="3" t="str">
        <f>VLOOKUP(B235,Listas!A$3:C$30,3,0)</f>
        <v>Secretaria Municipal de Educação</v>
      </c>
      <c r="D235" s="3" t="str">
        <f>VLOOKUP(B235,Listas!A$3:C$30,2,0)</f>
        <v>18101</v>
      </c>
      <c r="E235" s="13" t="s">
        <v>150</v>
      </c>
      <c r="F235" s="3" t="s">
        <v>425</v>
      </c>
      <c r="G235" s="3" t="s">
        <v>425</v>
      </c>
      <c r="H235" s="5" t="s">
        <v>425</v>
      </c>
      <c r="I235" s="5"/>
      <c r="J235" s="3" t="s">
        <v>425</v>
      </c>
      <c r="K235" s="12" t="s">
        <v>425</v>
      </c>
      <c r="L235" s="3" t="s">
        <v>425</v>
      </c>
      <c r="M235" s="3" t="s">
        <v>425</v>
      </c>
      <c r="N235" s="3" t="s">
        <v>425</v>
      </c>
      <c r="O235" s="3" t="s">
        <v>425</v>
      </c>
      <c r="P235" s="3" t="s">
        <v>425</v>
      </c>
      <c r="Q235" s="3" t="s">
        <v>425</v>
      </c>
    </row>
    <row r="236" spans="1:17" x14ac:dyDescent="0.2">
      <c r="A236" s="15">
        <f t="shared" si="3"/>
        <v>234</v>
      </c>
      <c r="B236" s="3" t="s">
        <v>63</v>
      </c>
      <c r="C236" s="3" t="str">
        <f>VLOOKUP(B236,Listas!A$3:C$30,3,0)</f>
        <v>Secretaria Municipal de Educação</v>
      </c>
      <c r="D236" s="3" t="str">
        <f>VLOOKUP(B236,Listas!A$3:C$30,2,0)</f>
        <v>18101</v>
      </c>
      <c r="E236" s="13" t="s">
        <v>351</v>
      </c>
      <c r="F236" s="3" t="s">
        <v>425</v>
      </c>
      <c r="G236" s="3" t="s">
        <v>425</v>
      </c>
      <c r="H236" s="5" t="s">
        <v>425</v>
      </c>
      <c r="I236" s="5"/>
      <c r="J236" s="3" t="s">
        <v>425</v>
      </c>
      <c r="K236" s="12" t="s">
        <v>425</v>
      </c>
      <c r="L236" s="3" t="s">
        <v>425</v>
      </c>
      <c r="M236" s="3" t="s">
        <v>425</v>
      </c>
      <c r="N236" s="3" t="s">
        <v>425</v>
      </c>
      <c r="O236" s="3" t="s">
        <v>425</v>
      </c>
      <c r="P236" s="3" t="s">
        <v>425</v>
      </c>
      <c r="Q236" s="3" t="s">
        <v>425</v>
      </c>
    </row>
    <row r="237" spans="1:17" x14ac:dyDescent="0.2">
      <c r="A237" s="15">
        <f t="shared" si="3"/>
        <v>235</v>
      </c>
      <c r="B237" s="3" t="s">
        <v>63</v>
      </c>
      <c r="C237" s="3" t="str">
        <f>VLOOKUP(B237,Listas!A$3:C$30,3,0)</f>
        <v>Secretaria Municipal de Educação</v>
      </c>
      <c r="D237" s="3" t="str">
        <f>VLOOKUP(B237,Listas!A$3:C$30,2,0)</f>
        <v>18101</v>
      </c>
      <c r="E237" s="13" t="s">
        <v>352</v>
      </c>
      <c r="F237" s="3" t="s">
        <v>425</v>
      </c>
      <c r="G237" s="3" t="s">
        <v>425</v>
      </c>
      <c r="H237" s="5" t="s">
        <v>425</v>
      </c>
      <c r="I237" s="5"/>
      <c r="J237" s="3" t="s">
        <v>425</v>
      </c>
      <c r="K237" s="12" t="s">
        <v>425</v>
      </c>
      <c r="L237" s="3" t="s">
        <v>425</v>
      </c>
      <c r="M237" s="3" t="s">
        <v>425</v>
      </c>
      <c r="N237" s="3" t="s">
        <v>425</v>
      </c>
      <c r="O237" s="3" t="s">
        <v>425</v>
      </c>
      <c r="P237" s="3" t="s">
        <v>425</v>
      </c>
      <c r="Q237" s="3" t="s">
        <v>425</v>
      </c>
    </row>
    <row r="238" spans="1:17" x14ac:dyDescent="0.2">
      <c r="A238" s="15">
        <f t="shared" si="3"/>
        <v>236</v>
      </c>
      <c r="B238" s="3" t="s">
        <v>63</v>
      </c>
      <c r="C238" s="3" t="str">
        <f>VLOOKUP(B238,Listas!A$3:C$30,3,0)</f>
        <v>Secretaria Municipal de Educação</v>
      </c>
      <c r="D238" s="3" t="str">
        <f>VLOOKUP(B238,Listas!A$3:C$30,2,0)</f>
        <v>18101</v>
      </c>
      <c r="E238" s="13" t="s">
        <v>353</v>
      </c>
      <c r="F238" s="3" t="s">
        <v>425</v>
      </c>
      <c r="G238" s="3" t="s">
        <v>425</v>
      </c>
      <c r="H238" s="5" t="s">
        <v>425</v>
      </c>
      <c r="I238" s="5"/>
      <c r="J238" s="3" t="s">
        <v>425</v>
      </c>
      <c r="K238" s="12" t="s">
        <v>425</v>
      </c>
      <c r="L238" s="3" t="s">
        <v>425</v>
      </c>
      <c r="M238" s="3" t="s">
        <v>425</v>
      </c>
      <c r="N238" s="3" t="s">
        <v>425</v>
      </c>
      <c r="O238" s="3" t="s">
        <v>425</v>
      </c>
      <c r="P238" s="3" t="s">
        <v>425</v>
      </c>
      <c r="Q238" s="3" t="s">
        <v>425</v>
      </c>
    </row>
    <row r="239" spans="1:17" x14ac:dyDescent="0.2">
      <c r="A239" s="15">
        <f t="shared" si="3"/>
        <v>237</v>
      </c>
      <c r="B239" s="3" t="s">
        <v>63</v>
      </c>
      <c r="C239" s="3" t="str">
        <f>VLOOKUP(B239,Listas!A$3:C$30,3,0)</f>
        <v>Secretaria Municipal de Educação</v>
      </c>
      <c r="D239" s="3" t="str">
        <f>VLOOKUP(B239,Listas!A$3:C$30,2,0)</f>
        <v>18101</v>
      </c>
      <c r="E239" s="13" t="s">
        <v>354</v>
      </c>
      <c r="F239" s="3" t="s">
        <v>425</v>
      </c>
      <c r="G239" s="3" t="s">
        <v>425</v>
      </c>
      <c r="H239" s="5" t="s">
        <v>425</v>
      </c>
      <c r="I239" s="5"/>
      <c r="J239" s="3" t="s">
        <v>425</v>
      </c>
      <c r="K239" s="12" t="s">
        <v>425</v>
      </c>
      <c r="L239" s="3" t="s">
        <v>425</v>
      </c>
      <c r="M239" s="3" t="s">
        <v>425</v>
      </c>
      <c r="N239" s="3" t="s">
        <v>425</v>
      </c>
      <c r="O239" s="3" t="s">
        <v>425</v>
      </c>
      <c r="P239" s="3" t="s">
        <v>425</v>
      </c>
      <c r="Q239" s="3" t="s">
        <v>425</v>
      </c>
    </row>
    <row r="240" spans="1:17" x14ac:dyDescent="0.2">
      <c r="A240" s="15">
        <f t="shared" si="3"/>
        <v>238</v>
      </c>
      <c r="B240" s="3" t="s">
        <v>63</v>
      </c>
      <c r="C240" s="3" t="str">
        <f>VLOOKUP(B240,Listas!A$3:C$30,3,0)</f>
        <v>Secretaria Municipal de Educação</v>
      </c>
      <c r="D240" s="3" t="str">
        <f>VLOOKUP(B240,Listas!A$3:C$30,2,0)</f>
        <v>18101</v>
      </c>
      <c r="E240" s="13" t="s">
        <v>355</v>
      </c>
      <c r="F240" s="3" t="s">
        <v>425</v>
      </c>
      <c r="G240" s="3" t="s">
        <v>425</v>
      </c>
      <c r="H240" s="5" t="s">
        <v>425</v>
      </c>
      <c r="I240" s="5"/>
      <c r="J240" s="3" t="s">
        <v>425</v>
      </c>
      <c r="K240" s="12" t="s">
        <v>425</v>
      </c>
      <c r="L240" s="3" t="s">
        <v>425</v>
      </c>
      <c r="M240" s="3" t="s">
        <v>425</v>
      </c>
      <c r="N240" s="3" t="s">
        <v>425</v>
      </c>
      <c r="O240" s="3" t="s">
        <v>425</v>
      </c>
      <c r="P240" s="3" t="s">
        <v>425</v>
      </c>
      <c r="Q240" s="3" t="s">
        <v>425</v>
      </c>
    </row>
    <row r="241" spans="1:17" x14ac:dyDescent="0.2">
      <c r="A241" s="15">
        <f t="shared" si="3"/>
        <v>239</v>
      </c>
      <c r="B241" s="3" t="s">
        <v>63</v>
      </c>
      <c r="C241" s="3" t="str">
        <f>VLOOKUP(B241,Listas!A$3:C$30,3,0)</f>
        <v>Secretaria Municipal de Educação</v>
      </c>
      <c r="D241" s="3" t="str">
        <f>VLOOKUP(B241,Listas!A$3:C$30,2,0)</f>
        <v>18101</v>
      </c>
      <c r="E241" s="13" t="s">
        <v>356</v>
      </c>
      <c r="F241" s="3" t="s">
        <v>425</v>
      </c>
      <c r="G241" s="3" t="s">
        <v>425</v>
      </c>
      <c r="H241" s="5" t="s">
        <v>425</v>
      </c>
      <c r="I241" s="5"/>
      <c r="J241" s="3" t="s">
        <v>425</v>
      </c>
      <c r="K241" s="12" t="s">
        <v>425</v>
      </c>
      <c r="L241" s="3" t="s">
        <v>425</v>
      </c>
      <c r="M241" s="3" t="s">
        <v>425</v>
      </c>
      <c r="N241" s="3" t="s">
        <v>425</v>
      </c>
      <c r="O241" s="3" t="s">
        <v>425</v>
      </c>
      <c r="P241" s="3" t="s">
        <v>425</v>
      </c>
      <c r="Q241" s="3" t="s">
        <v>425</v>
      </c>
    </row>
    <row r="242" spans="1:17" x14ac:dyDescent="0.2">
      <c r="A242" s="15">
        <f t="shared" si="3"/>
        <v>240</v>
      </c>
      <c r="B242" s="3" t="s">
        <v>63</v>
      </c>
      <c r="C242" s="3" t="str">
        <f>VLOOKUP(B242,Listas!A$3:C$30,3,0)</f>
        <v>Secretaria Municipal de Educação</v>
      </c>
      <c r="D242" s="3" t="str">
        <f>VLOOKUP(B242,Listas!A$3:C$30,2,0)</f>
        <v>18101</v>
      </c>
      <c r="E242" s="13" t="s">
        <v>357</v>
      </c>
      <c r="F242" s="3" t="s">
        <v>425</v>
      </c>
      <c r="G242" s="3" t="s">
        <v>425</v>
      </c>
      <c r="H242" s="5" t="s">
        <v>425</v>
      </c>
      <c r="I242" s="5"/>
      <c r="J242" s="3" t="s">
        <v>425</v>
      </c>
      <c r="K242" s="12" t="s">
        <v>425</v>
      </c>
      <c r="L242" s="3" t="s">
        <v>425</v>
      </c>
      <c r="M242" s="3" t="s">
        <v>425</v>
      </c>
      <c r="N242" s="3" t="s">
        <v>425</v>
      </c>
      <c r="O242" s="3" t="s">
        <v>425</v>
      </c>
      <c r="P242" s="3" t="s">
        <v>425</v>
      </c>
      <c r="Q242" s="3" t="s">
        <v>425</v>
      </c>
    </row>
    <row r="243" spans="1:17" x14ac:dyDescent="0.2">
      <c r="A243" s="15">
        <f t="shared" si="3"/>
        <v>241</v>
      </c>
      <c r="B243" s="3" t="s">
        <v>63</v>
      </c>
      <c r="C243" s="3" t="str">
        <f>VLOOKUP(B243,Listas!A$3:C$30,3,0)</f>
        <v>Secretaria Municipal de Educação</v>
      </c>
      <c r="D243" s="3" t="str">
        <f>VLOOKUP(B243,Listas!A$3:C$30,2,0)</f>
        <v>18101</v>
      </c>
      <c r="E243" s="13" t="s">
        <v>358</v>
      </c>
      <c r="F243" s="3" t="s">
        <v>425</v>
      </c>
      <c r="G243" s="3" t="s">
        <v>425</v>
      </c>
      <c r="H243" s="5" t="s">
        <v>425</v>
      </c>
      <c r="I243" s="5"/>
      <c r="J243" s="3" t="s">
        <v>425</v>
      </c>
      <c r="K243" s="12" t="s">
        <v>425</v>
      </c>
      <c r="L243" s="3" t="s">
        <v>425</v>
      </c>
      <c r="M243" s="3" t="s">
        <v>425</v>
      </c>
      <c r="N243" s="3" t="s">
        <v>425</v>
      </c>
      <c r="O243" s="3" t="s">
        <v>425</v>
      </c>
      <c r="P243" s="3" t="s">
        <v>425</v>
      </c>
      <c r="Q243" s="3" t="s">
        <v>425</v>
      </c>
    </row>
    <row r="244" spans="1:17" x14ac:dyDescent="0.2">
      <c r="A244" s="15">
        <f t="shared" si="3"/>
        <v>242</v>
      </c>
      <c r="B244" s="3" t="s">
        <v>63</v>
      </c>
      <c r="C244" s="3" t="str">
        <f>VLOOKUP(B244,Listas!A$3:C$30,3,0)</f>
        <v>Secretaria Municipal de Educação</v>
      </c>
      <c r="D244" s="3" t="str">
        <f>VLOOKUP(B244,Listas!A$3:C$30,2,0)</f>
        <v>18101</v>
      </c>
      <c r="E244" s="13" t="s">
        <v>359</v>
      </c>
      <c r="F244" s="3" t="s">
        <v>425</v>
      </c>
      <c r="G244" s="3" t="s">
        <v>425</v>
      </c>
      <c r="H244" s="5" t="s">
        <v>425</v>
      </c>
      <c r="I244" s="5"/>
      <c r="J244" s="3" t="s">
        <v>425</v>
      </c>
      <c r="K244" s="12" t="s">
        <v>425</v>
      </c>
      <c r="L244" s="3" t="s">
        <v>425</v>
      </c>
      <c r="M244" s="3" t="s">
        <v>425</v>
      </c>
      <c r="N244" s="3" t="s">
        <v>425</v>
      </c>
      <c r="O244" s="3" t="s">
        <v>425</v>
      </c>
      <c r="P244" s="3" t="s">
        <v>425</v>
      </c>
      <c r="Q244" s="3" t="s">
        <v>425</v>
      </c>
    </row>
    <row r="245" spans="1:17" x14ac:dyDescent="0.2">
      <c r="A245" s="15">
        <f t="shared" si="3"/>
        <v>243</v>
      </c>
      <c r="B245" s="3" t="s">
        <v>63</v>
      </c>
      <c r="C245" s="3" t="str">
        <f>VLOOKUP(B245,Listas!A$3:C$30,3,0)</f>
        <v>Secretaria Municipal de Educação</v>
      </c>
      <c r="D245" s="3" t="str">
        <f>VLOOKUP(B245,Listas!A$3:C$30,2,0)</f>
        <v>18101</v>
      </c>
      <c r="E245" s="13" t="s">
        <v>303</v>
      </c>
      <c r="F245" s="3" t="s">
        <v>425</v>
      </c>
      <c r="G245" s="3" t="s">
        <v>425</v>
      </c>
      <c r="H245" s="5" t="s">
        <v>425</v>
      </c>
      <c r="I245" s="5"/>
      <c r="J245" s="3" t="s">
        <v>425</v>
      </c>
      <c r="K245" s="12" t="s">
        <v>425</v>
      </c>
      <c r="L245" s="3" t="s">
        <v>425</v>
      </c>
      <c r="M245" s="3" t="s">
        <v>425</v>
      </c>
      <c r="N245" s="3" t="s">
        <v>425</v>
      </c>
      <c r="O245" s="3" t="s">
        <v>425</v>
      </c>
      <c r="P245" s="3" t="s">
        <v>425</v>
      </c>
      <c r="Q245" s="3" t="s">
        <v>425</v>
      </c>
    </row>
    <row r="246" spans="1:17" x14ac:dyDescent="0.2">
      <c r="A246" s="15">
        <f t="shared" si="3"/>
        <v>244</v>
      </c>
      <c r="B246" s="3" t="s">
        <v>63</v>
      </c>
      <c r="C246" s="3" t="str">
        <f>VLOOKUP(B246,Listas!A$3:C$30,3,0)</f>
        <v>Secretaria Municipal de Educação</v>
      </c>
      <c r="D246" s="3" t="str">
        <f>VLOOKUP(B246,Listas!A$3:C$30,2,0)</f>
        <v>18101</v>
      </c>
      <c r="E246" s="13" t="s">
        <v>360</v>
      </c>
      <c r="F246" s="3" t="s">
        <v>425</v>
      </c>
      <c r="G246" s="3" t="s">
        <v>425</v>
      </c>
      <c r="H246" s="5" t="s">
        <v>425</v>
      </c>
      <c r="I246" s="5"/>
      <c r="J246" s="3" t="s">
        <v>425</v>
      </c>
      <c r="K246" s="12" t="s">
        <v>425</v>
      </c>
      <c r="L246" s="3" t="s">
        <v>425</v>
      </c>
      <c r="M246" s="3" t="s">
        <v>425</v>
      </c>
      <c r="N246" s="3" t="s">
        <v>425</v>
      </c>
      <c r="O246" s="3" t="s">
        <v>425</v>
      </c>
      <c r="P246" s="3" t="s">
        <v>425</v>
      </c>
      <c r="Q246" s="3" t="s">
        <v>425</v>
      </c>
    </row>
    <row r="247" spans="1:17" x14ac:dyDescent="0.2">
      <c r="A247" s="15">
        <f t="shared" si="3"/>
        <v>245</v>
      </c>
      <c r="B247" s="3" t="s">
        <v>63</v>
      </c>
      <c r="C247" s="3" t="str">
        <f>VLOOKUP(B247,Listas!A$3:C$30,3,0)</f>
        <v>Secretaria Municipal de Educação</v>
      </c>
      <c r="D247" s="3" t="str">
        <f>VLOOKUP(B247,Listas!A$3:C$30,2,0)</f>
        <v>18101</v>
      </c>
      <c r="E247" s="13" t="s">
        <v>361</v>
      </c>
      <c r="F247" s="3" t="s">
        <v>425</v>
      </c>
      <c r="G247" s="3" t="s">
        <v>425</v>
      </c>
      <c r="H247" s="5" t="s">
        <v>425</v>
      </c>
      <c r="I247" s="5"/>
      <c r="J247" s="3" t="s">
        <v>425</v>
      </c>
      <c r="K247" s="12" t="s">
        <v>425</v>
      </c>
      <c r="L247" s="3" t="s">
        <v>425</v>
      </c>
      <c r="M247" s="3" t="s">
        <v>425</v>
      </c>
      <c r="N247" s="3" t="s">
        <v>425</v>
      </c>
      <c r="O247" s="3" t="s">
        <v>425</v>
      </c>
      <c r="P247" s="3" t="s">
        <v>425</v>
      </c>
      <c r="Q247" s="3" t="s">
        <v>425</v>
      </c>
    </row>
    <row r="248" spans="1:17" x14ac:dyDescent="0.2">
      <c r="A248" s="15">
        <f t="shared" si="3"/>
        <v>246</v>
      </c>
      <c r="B248" s="3" t="s">
        <v>63</v>
      </c>
      <c r="C248" s="3" t="str">
        <f>VLOOKUP(B248,Listas!A$3:C$30,3,0)</f>
        <v>Secretaria Municipal de Educação</v>
      </c>
      <c r="D248" s="3" t="str">
        <f>VLOOKUP(B248,Listas!A$3:C$30,2,0)</f>
        <v>18101</v>
      </c>
      <c r="E248" s="13" t="s">
        <v>362</v>
      </c>
      <c r="F248" s="3" t="s">
        <v>425</v>
      </c>
      <c r="G248" s="3" t="s">
        <v>425</v>
      </c>
      <c r="H248" s="5" t="s">
        <v>425</v>
      </c>
      <c r="I248" s="5"/>
      <c r="J248" s="3" t="s">
        <v>425</v>
      </c>
      <c r="K248" s="12" t="s">
        <v>425</v>
      </c>
      <c r="L248" s="3" t="s">
        <v>425</v>
      </c>
      <c r="M248" s="3" t="s">
        <v>425</v>
      </c>
      <c r="N248" s="3" t="s">
        <v>425</v>
      </c>
      <c r="O248" s="3" t="s">
        <v>425</v>
      </c>
      <c r="P248" s="3" t="s">
        <v>425</v>
      </c>
      <c r="Q248" s="3" t="s">
        <v>425</v>
      </c>
    </row>
    <row r="249" spans="1:17" x14ac:dyDescent="0.2">
      <c r="A249" s="15">
        <f t="shared" si="3"/>
        <v>247</v>
      </c>
      <c r="B249" s="3" t="s">
        <v>63</v>
      </c>
      <c r="C249" s="3" t="str">
        <f>VLOOKUP(B249,Listas!A$3:C$30,3,0)</f>
        <v>Secretaria Municipal de Educação</v>
      </c>
      <c r="D249" s="3" t="str">
        <f>VLOOKUP(B249,Listas!A$3:C$30,2,0)</f>
        <v>18101</v>
      </c>
      <c r="E249" s="13" t="s">
        <v>363</v>
      </c>
      <c r="F249" s="3" t="s">
        <v>425</v>
      </c>
      <c r="G249" s="3" t="s">
        <v>425</v>
      </c>
      <c r="H249" s="5" t="s">
        <v>425</v>
      </c>
      <c r="I249" s="5"/>
      <c r="J249" s="3" t="s">
        <v>425</v>
      </c>
      <c r="K249" s="12" t="s">
        <v>425</v>
      </c>
      <c r="L249" s="3" t="s">
        <v>425</v>
      </c>
      <c r="M249" s="3" t="s">
        <v>425</v>
      </c>
      <c r="N249" s="3" t="s">
        <v>425</v>
      </c>
      <c r="O249" s="3" t="s">
        <v>425</v>
      </c>
      <c r="P249" s="3" t="s">
        <v>425</v>
      </c>
      <c r="Q249" s="3" t="s">
        <v>425</v>
      </c>
    </row>
    <row r="250" spans="1:17" x14ac:dyDescent="0.2">
      <c r="A250" s="15">
        <f t="shared" si="3"/>
        <v>248</v>
      </c>
      <c r="B250" s="3" t="s">
        <v>63</v>
      </c>
      <c r="C250" s="3" t="str">
        <f>VLOOKUP(B250,Listas!A$3:C$30,3,0)</f>
        <v>Secretaria Municipal de Educação</v>
      </c>
      <c r="D250" s="3" t="str">
        <f>VLOOKUP(B250,Listas!A$3:C$30,2,0)</f>
        <v>18101</v>
      </c>
      <c r="E250" s="13" t="s">
        <v>364</v>
      </c>
      <c r="F250" s="3" t="s">
        <v>425</v>
      </c>
      <c r="G250" s="3" t="s">
        <v>425</v>
      </c>
      <c r="H250" s="5" t="s">
        <v>425</v>
      </c>
      <c r="I250" s="5"/>
      <c r="J250" s="3" t="s">
        <v>425</v>
      </c>
      <c r="K250" s="12" t="s">
        <v>425</v>
      </c>
      <c r="L250" s="3" t="s">
        <v>425</v>
      </c>
      <c r="M250" s="3" t="s">
        <v>425</v>
      </c>
      <c r="N250" s="3" t="s">
        <v>425</v>
      </c>
      <c r="O250" s="3" t="s">
        <v>425</v>
      </c>
      <c r="P250" s="3" t="s">
        <v>425</v>
      </c>
      <c r="Q250" s="3" t="s">
        <v>425</v>
      </c>
    </row>
    <row r="251" spans="1:17" x14ac:dyDescent="0.2">
      <c r="A251" s="15">
        <f t="shared" si="3"/>
        <v>249</v>
      </c>
      <c r="B251" s="3" t="s">
        <v>63</v>
      </c>
      <c r="C251" s="3" t="str">
        <f>VLOOKUP(B251,Listas!A$3:C$30,3,0)</f>
        <v>Secretaria Municipal de Educação</v>
      </c>
      <c r="D251" s="3" t="str">
        <f>VLOOKUP(B251,Listas!A$3:C$30,2,0)</f>
        <v>18101</v>
      </c>
      <c r="E251" s="13" t="s">
        <v>365</v>
      </c>
      <c r="F251" s="3" t="s">
        <v>425</v>
      </c>
      <c r="G251" s="3" t="s">
        <v>425</v>
      </c>
      <c r="H251" s="5" t="s">
        <v>425</v>
      </c>
      <c r="I251" s="5"/>
      <c r="J251" s="3" t="s">
        <v>425</v>
      </c>
      <c r="K251" s="12" t="s">
        <v>425</v>
      </c>
      <c r="L251" s="3" t="s">
        <v>425</v>
      </c>
      <c r="M251" s="3" t="s">
        <v>425</v>
      </c>
      <c r="N251" s="3" t="s">
        <v>425</v>
      </c>
      <c r="O251" s="3" t="s">
        <v>425</v>
      </c>
      <c r="P251" s="3" t="s">
        <v>425</v>
      </c>
      <c r="Q251" s="3" t="s">
        <v>425</v>
      </c>
    </row>
    <row r="252" spans="1:17" x14ac:dyDescent="0.2">
      <c r="A252" s="15">
        <f t="shared" si="3"/>
        <v>250</v>
      </c>
      <c r="B252" s="3" t="s">
        <v>63</v>
      </c>
      <c r="C252" s="3" t="str">
        <f>VLOOKUP(B252,Listas!A$3:C$30,3,0)</f>
        <v>Secretaria Municipal de Educação</v>
      </c>
      <c r="D252" s="3" t="str">
        <f>VLOOKUP(B252,Listas!A$3:C$30,2,0)</f>
        <v>18101</v>
      </c>
      <c r="E252" s="13" t="s">
        <v>366</v>
      </c>
      <c r="F252" s="3" t="s">
        <v>425</v>
      </c>
      <c r="G252" s="3" t="s">
        <v>425</v>
      </c>
      <c r="H252" s="5" t="s">
        <v>425</v>
      </c>
      <c r="I252" s="5"/>
      <c r="J252" s="3" t="s">
        <v>425</v>
      </c>
      <c r="K252" s="12" t="s">
        <v>425</v>
      </c>
      <c r="L252" s="3" t="s">
        <v>425</v>
      </c>
      <c r="M252" s="3" t="s">
        <v>425</v>
      </c>
      <c r="N252" s="3" t="s">
        <v>425</v>
      </c>
      <c r="O252" s="3" t="s">
        <v>425</v>
      </c>
      <c r="P252" s="3" t="s">
        <v>425</v>
      </c>
      <c r="Q252" s="3" t="s">
        <v>425</v>
      </c>
    </row>
    <row r="253" spans="1:17" x14ac:dyDescent="0.2">
      <c r="A253" s="15">
        <f t="shared" si="3"/>
        <v>251</v>
      </c>
      <c r="B253" s="3" t="s">
        <v>63</v>
      </c>
      <c r="C253" s="3" t="str">
        <f>VLOOKUP(B253,Listas!A$3:C$30,3,0)</f>
        <v>Secretaria Municipal de Educação</v>
      </c>
      <c r="D253" s="3" t="str">
        <f>VLOOKUP(B253,Listas!A$3:C$30,2,0)</f>
        <v>18101</v>
      </c>
      <c r="E253" s="13" t="s">
        <v>367</v>
      </c>
      <c r="F253" s="3" t="s">
        <v>425</v>
      </c>
      <c r="G253" s="3" t="s">
        <v>425</v>
      </c>
      <c r="H253" s="5" t="s">
        <v>425</v>
      </c>
      <c r="I253" s="5"/>
      <c r="J253" s="3" t="s">
        <v>425</v>
      </c>
      <c r="K253" s="12" t="s">
        <v>425</v>
      </c>
      <c r="L253" s="3" t="s">
        <v>425</v>
      </c>
      <c r="M253" s="3" t="s">
        <v>425</v>
      </c>
      <c r="N253" s="3" t="s">
        <v>425</v>
      </c>
      <c r="O253" s="3" t="s">
        <v>425</v>
      </c>
      <c r="P253" s="3" t="s">
        <v>425</v>
      </c>
      <c r="Q253" s="3" t="s">
        <v>425</v>
      </c>
    </row>
    <row r="254" spans="1:17" x14ac:dyDescent="0.2">
      <c r="A254" s="15">
        <f t="shared" si="3"/>
        <v>252</v>
      </c>
      <c r="B254" s="3" t="s">
        <v>63</v>
      </c>
      <c r="C254" s="3" t="str">
        <f>VLOOKUP(B254,Listas!A$3:C$30,3,0)</f>
        <v>Secretaria Municipal de Educação</v>
      </c>
      <c r="D254" s="3" t="str">
        <f>VLOOKUP(B254,Listas!A$3:C$30,2,0)</f>
        <v>18101</v>
      </c>
      <c r="E254" s="13" t="s">
        <v>368</v>
      </c>
      <c r="F254" s="3" t="s">
        <v>425</v>
      </c>
      <c r="G254" s="3" t="s">
        <v>425</v>
      </c>
      <c r="H254" s="5" t="s">
        <v>425</v>
      </c>
      <c r="I254" s="5"/>
      <c r="J254" s="3" t="s">
        <v>425</v>
      </c>
      <c r="K254" s="12" t="s">
        <v>425</v>
      </c>
      <c r="L254" s="3" t="s">
        <v>425</v>
      </c>
      <c r="M254" s="3" t="s">
        <v>425</v>
      </c>
      <c r="N254" s="3" t="s">
        <v>425</v>
      </c>
      <c r="O254" s="3" t="s">
        <v>425</v>
      </c>
      <c r="P254" s="3" t="s">
        <v>425</v>
      </c>
      <c r="Q254" s="3" t="s">
        <v>425</v>
      </c>
    </row>
    <row r="255" spans="1:17" x14ac:dyDescent="0.2">
      <c r="A255" s="15">
        <f t="shared" si="3"/>
        <v>253</v>
      </c>
      <c r="B255" s="3" t="s">
        <v>63</v>
      </c>
      <c r="C255" s="3" t="str">
        <f>VLOOKUP(B255,Listas!A$3:C$30,3,0)</f>
        <v>Secretaria Municipal de Educação</v>
      </c>
      <c r="D255" s="3" t="str">
        <f>VLOOKUP(B255,Listas!A$3:C$30,2,0)</f>
        <v>18101</v>
      </c>
      <c r="E255" s="13" t="s">
        <v>369</v>
      </c>
      <c r="F255" s="3" t="s">
        <v>425</v>
      </c>
      <c r="G255" s="3" t="s">
        <v>425</v>
      </c>
      <c r="H255" s="5" t="s">
        <v>425</v>
      </c>
      <c r="I255" s="5"/>
      <c r="J255" s="3" t="s">
        <v>425</v>
      </c>
      <c r="K255" s="12" t="s">
        <v>425</v>
      </c>
      <c r="L255" s="3" t="s">
        <v>425</v>
      </c>
      <c r="M255" s="3" t="s">
        <v>425</v>
      </c>
      <c r="N255" s="3" t="s">
        <v>425</v>
      </c>
      <c r="O255" s="3" t="s">
        <v>425</v>
      </c>
      <c r="P255" s="3" t="s">
        <v>425</v>
      </c>
      <c r="Q255" s="3" t="s">
        <v>425</v>
      </c>
    </row>
    <row r="256" spans="1:17" x14ac:dyDescent="0.2">
      <c r="A256" s="15">
        <f t="shared" si="3"/>
        <v>254</v>
      </c>
      <c r="B256" s="3" t="s">
        <v>63</v>
      </c>
      <c r="C256" s="3" t="str">
        <f>VLOOKUP(B256,Listas!A$3:C$30,3,0)</f>
        <v>Secretaria Municipal de Educação</v>
      </c>
      <c r="D256" s="3" t="str">
        <f>VLOOKUP(B256,Listas!A$3:C$30,2,0)</f>
        <v>18101</v>
      </c>
      <c r="E256" s="13" t="s">
        <v>370</v>
      </c>
      <c r="F256" s="3" t="s">
        <v>425</v>
      </c>
      <c r="G256" s="3" t="s">
        <v>425</v>
      </c>
      <c r="H256" s="5" t="s">
        <v>425</v>
      </c>
      <c r="I256" s="5"/>
      <c r="J256" s="3" t="s">
        <v>425</v>
      </c>
      <c r="K256" s="12" t="s">
        <v>425</v>
      </c>
      <c r="L256" s="3" t="s">
        <v>425</v>
      </c>
      <c r="M256" s="3" t="s">
        <v>425</v>
      </c>
      <c r="N256" s="3" t="s">
        <v>425</v>
      </c>
      <c r="O256" s="3" t="s">
        <v>425</v>
      </c>
      <c r="P256" s="3" t="s">
        <v>425</v>
      </c>
      <c r="Q256" s="3" t="s">
        <v>425</v>
      </c>
    </row>
    <row r="257" spans="1:17" x14ac:dyDescent="0.2">
      <c r="A257" s="15">
        <f t="shared" si="3"/>
        <v>255</v>
      </c>
      <c r="B257" s="3" t="s">
        <v>63</v>
      </c>
      <c r="C257" s="3" t="str">
        <f>VLOOKUP(B257,Listas!A$3:C$30,3,0)</f>
        <v>Secretaria Municipal de Educação</v>
      </c>
      <c r="D257" s="3" t="str">
        <f>VLOOKUP(B257,Listas!A$3:C$30,2,0)</f>
        <v>18101</v>
      </c>
      <c r="E257" s="13" t="s">
        <v>371</v>
      </c>
      <c r="F257" s="3" t="s">
        <v>425</v>
      </c>
      <c r="G257" s="3" t="s">
        <v>425</v>
      </c>
      <c r="H257" s="5" t="s">
        <v>425</v>
      </c>
      <c r="I257" s="5"/>
      <c r="J257" s="3" t="s">
        <v>425</v>
      </c>
      <c r="K257" s="12" t="s">
        <v>425</v>
      </c>
      <c r="L257" s="3" t="s">
        <v>425</v>
      </c>
      <c r="M257" s="3" t="s">
        <v>425</v>
      </c>
      <c r="N257" s="3" t="s">
        <v>425</v>
      </c>
      <c r="O257" s="3" t="s">
        <v>425</v>
      </c>
      <c r="P257" s="3" t="s">
        <v>425</v>
      </c>
      <c r="Q257" s="3" t="s">
        <v>425</v>
      </c>
    </row>
    <row r="258" spans="1:17" x14ac:dyDescent="0.2">
      <c r="A258" s="15">
        <f t="shared" si="3"/>
        <v>256</v>
      </c>
      <c r="B258" s="3" t="s">
        <v>63</v>
      </c>
      <c r="C258" s="3" t="str">
        <f>VLOOKUP(B258,Listas!A$3:C$30,3,0)</f>
        <v>Secretaria Municipal de Educação</v>
      </c>
      <c r="D258" s="3" t="str">
        <f>VLOOKUP(B258,Listas!A$3:C$30,2,0)</f>
        <v>18101</v>
      </c>
      <c r="E258" s="13" t="s">
        <v>372</v>
      </c>
      <c r="F258" s="3" t="s">
        <v>425</v>
      </c>
      <c r="G258" s="3" t="s">
        <v>425</v>
      </c>
      <c r="H258" s="5" t="s">
        <v>425</v>
      </c>
      <c r="I258" s="5"/>
      <c r="J258" s="3" t="s">
        <v>425</v>
      </c>
      <c r="K258" s="12" t="s">
        <v>425</v>
      </c>
      <c r="L258" s="3" t="s">
        <v>425</v>
      </c>
      <c r="M258" s="3" t="s">
        <v>425</v>
      </c>
      <c r="N258" s="3" t="s">
        <v>425</v>
      </c>
      <c r="O258" s="3" t="s">
        <v>425</v>
      </c>
      <c r="P258" s="3" t="s">
        <v>425</v>
      </c>
      <c r="Q258" s="3" t="s">
        <v>425</v>
      </c>
    </row>
    <row r="259" spans="1:17" x14ac:dyDescent="0.2">
      <c r="A259" s="15">
        <f t="shared" si="3"/>
        <v>257</v>
      </c>
      <c r="B259" s="3" t="s">
        <v>63</v>
      </c>
      <c r="C259" s="3" t="str">
        <f>VLOOKUP(B259,Listas!A$3:C$30,3,0)</f>
        <v>Secretaria Municipal de Educação</v>
      </c>
      <c r="D259" s="3" t="str">
        <f>VLOOKUP(B259,Listas!A$3:C$30,2,0)</f>
        <v>18101</v>
      </c>
      <c r="E259" s="13" t="s">
        <v>373</v>
      </c>
      <c r="F259" s="3" t="s">
        <v>425</v>
      </c>
      <c r="G259" s="3" t="s">
        <v>425</v>
      </c>
      <c r="H259" s="5" t="s">
        <v>425</v>
      </c>
      <c r="I259" s="5"/>
      <c r="J259" s="3" t="s">
        <v>425</v>
      </c>
      <c r="K259" s="12" t="s">
        <v>425</v>
      </c>
      <c r="L259" s="3" t="s">
        <v>425</v>
      </c>
      <c r="M259" s="3" t="s">
        <v>425</v>
      </c>
      <c r="N259" s="3" t="s">
        <v>425</v>
      </c>
      <c r="O259" s="3" t="s">
        <v>425</v>
      </c>
      <c r="P259" s="3" t="s">
        <v>425</v>
      </c>
      <c r="Q259" s="3" t="s">
        <v>425</v>
      </c>
    </row>
    <row r="260" spans="1:17" x14ac:dyDescent="0.2">
      <c r="A260" s="15">
        <f t="shared" si="3"/>
        <v>258</v>
      </c>
      <c r="B260" s="3" t="s">
        <v>63</v>
      </c>
      <c r="C260" s="3" t="str">
        <f>VLOOKUP(B260,Listas!A$3:C$30,3,0)</f>
        <v>Secretaria Municipal de Educação</v>
      </c>
      <c r="D260" s="3" t="str">
        <f>VLOOKUP(B260,Listas!A$3:C$30,2,0)</f>
        <v>18101</v>
      </c>
      <c r="E260" s="13" t="s">
        <v>358</v>
      </c>
      <c r="F260" s="3" t="s">
        <v>425</v>
      </c>
      <c r="G260" s="3" t="s">
        <v>425</v>
      </c>
      <c r="H260" s="5" t="s">
        <v>425</v>
      </c>
      <c r="I260" s="5"/>
      <c r="J260" s="3" t="s">
        <v>425</v>
      </c>
      <c r="K260" s="12" t="s">
        <v>425</v>
      </c>
      <c r="L260" s="3" t="s">
        <v>425</v>
      </c>
      <c r="M260" s="3" t="s">
        <v>425</v>
      </c>
      <c r="N260" s="3" t="s">
        <v>425</v>
      </c>
      <c r="O260" s="3" t="s">
        <v>425</v>
      </c>
      <c r="P260" s="3" t="s">
        <v>425</v>
      </c>
      <c r="Q260" s="3" t="s">
        <v>425</v>
      </c>
    </row>
    <row r="261" spans="1:17" x14ac:dyDescent="0.2">
      <c r="A261" s="15">
        <f t="shared" ref="A261:A306" si="4">A260+1</f>
        <v>259</v>
      </c>
      <c r="B261" s="3" t="s">
        <v>63</v>
      </c>
      <c r="C261" s="3" t="str">
        <f>VLOOKUP(B261,Listas!A$3:C$30,3,0)</f>
        <v>Secretaria Municipal de Educação</v>
      </c>
      <c r="D261" s="3" t="str">
        <f>VLOOKUP(B261,Listas!A$3:C$30,2,0)</f>
        <v>18101</v>
      </c>
      <c r="E261" s="13" t="s">
        <v>374</v>
      </c>
      <c r="F261" s="3" t="s">
        <v>425</v>
      </c>
      <c r="G261" s="3" t="s">
        <v>425</v>
      </c>
      <c r="H261" s="5" t="s">
        <v>425</v>
      </c>
      <c r="I261" s="5"/>
      <c r="J261" s="3" t="s">
        <v>425</v>
      </c>
      <c r="K261" s="12" t="s">
        <v>425</v>
      </c>
      <c r="L261" s="3" t="s">
        <v>425</v>
      </c>
      <c r="M261" s="3" t="s">
        <v>425</v>
      </c>
      <c r="N261" s="3" t="s">
        <v>425</v>
      </c>
      <c r="O261" s="3" t="s">
        <v>425</v>
      </c>
      <c r="P261" s="3" t="s">
        <v>425</v>
      </c>
      <c r="Q261" s="3" t="s">
        <v>425</v>
      </c>
    </row>
    <row r="262" spans="1:17" x14ac:dyDescent="0.2">
      <c r="A262" s="15">
        <f t="shared" si="4"/>
        <v>260</v>
      </c>
      <c r="B262" s="3" t="s">
        <v>63</v>
      </c>
      <c r="C262" s="3" t="str">
        <f>VLOOKUP(B262,Listas!A$3:C$30,3,0)</f>
        <v>Secretaria Municipal de Educação</v>
      </c>
      <c r="D262" s="3" t="str">
        <f>VLOOKUP(B262,Listas!A$3:C$30,2,0)</f>
        <v>18101</v>
      </c>
      <c r="E262" s="13" t="s">
        <v>303</v>
      </c>
      <c r="F262" s="3" t="s">
        <v>425</v>
      </c>
      <c r="G262" s="3" t="s">
        <v>425</v>
      </c>
      <c r="H262" s="5" t="s">
        <v>425</v>
      </c>
      <c r="I262" s="5"/>
      <c r="J262" s="3" t="s">
        <v>425</v>
      </c>
      <c r="K262" s="12" t="s">
        <v>425</v>
      </c>
      <c r="L262" s="3" t="s">
        <v>425</v>
      </c>
      <c r="M262" s="3" t="s">
        <v>425</v>
      </c>
      <c r="N262" s="3" t="s">
        <v>425</v>
      </c>
      <c r="O262" s="3" t="s">
        <v>425</v>
      </c>
      <c r="P262" s="3" t="s">
        <v>425</v>
      </c>
      <c r="Q262" s="3" t="s">
        <v>425</v>
      </c>
    </row>
    <row r="263" spans="1:17" x14ac:dyDescent="0.2">
      <c r="A263" s="15">
        <f t="shared" si="4"/>
        <v>261</v>
      </c>
      <c r="B263" s="3" t="s">
        <v>63</v>
      </c>
      <c r="C263" s="3" t="str">
        <f>VLOOKUP(B263,Listas!A$3:C$30,3,0)</f>
        <v>Secretaria Municipal de Educação</v>
      </c>
      <c r="D263" s="3" t="str">
        <f>VLOOKUP(B263,Listas!A$3:C$30,2,0)</f>
        <v>18101</v>
      </c>
      <c r="E263" s="13" t="s">
        <v>375</v>
      </c>
      <c r="F263" s="3" t="s">
        <v>425</v>
      </c>
      <c r="G263" s="3" t="s">
        <v>425</v>
      </c>
      <c r="H263" s="5" t="s">
        <v>425</v>
      </c>
      <c r="I263" s="5"/>
      <c r="J263" s="3" t="s">
        <v>425</v>
      </c>
      <c r="K263" s="12" t="s">
        <v>425</v>
      </c>
      <c r="L263" s="3" t="s">
        <v>425</v>
      </c>
      <c r="M263" s="3" t="s">
        <v>425</v>
      </c>
      <c r="N263" s="3" t="s">
        <v>425</v>
      </c>
      <c r="O263" s="3" t="s">
        <v>425</v>
      </c>
      <c r="P263" s="3" t="s">
        <v>425</v>
      </c>
      <c r="Q263" s="3" t="s">
        <v>425</v>
      </c>
    </row>
    <row r="264" spans="1:17" x14ac:dyDescent="0.2">
      <c r="A264" s="15">
        <f t="shared" si="4"/>
        <v>262</v>
      </c>
      <c r="B264" s="3" t="s">
        <v>63</v>
      </c>
      <c r="C264" s="3" t="str">
        <f>VLOOKUP(B264,Listas!A$3:C$30,3,0)</f>
        <v>Secretaria Municipal de Educação</v>
      </c>
      <c r="D264" s="3" t="str">
        <f>VLOOKUP(B264,Listas!A$3:C$30,2,0)</f>
        <v>18101</v>
      </c>
      <c r="E264" s="13" t="s">
        <v>376</v>
      </c>
      <c r="F264" s="3" t="s">
        <v>425</v>
      </c>
      <c r="G264" s="3" t="s">
        <v>425</v>
      </c>
      <c r="H264" s="5" t="s">
        <v>425</v>
      </c>
      <c r="I264" s="5"/>
      <c r="J264" s="3" t="s">
        <v>425</v>
      </c>
      <c r="K264" s="12" t="s">
        <v>425</v>
      </c>
      <c r="L264" s="3" t="s">
        <v>425</v>
      </c>
      <c r="M264" s="3" t="s">
        <v>425</v>
      </c>
      <c r="N264" s="3" t="s">
        <v>425</v>
      </c>
      <c r="O264" s="3" t="s">
        <v>425</v>
      </c>
      <c r="P264" s="3" t="s">
        <v>425</v>
      </c>
      <c r="Q264" s="3" t="s">
        <v>425</v>
      </c>
    </row>
    <row r="265" spans="1:17" x14ac:dyDescent="0.2">
      <c r="A265" s="15">
        <f t="shared" si="4"/>
        <v>263</v>
      </c>
      <c r="B265" s="3" t="s">
        <v>63</v>
      </c>
      <c r="C265" s="3" t="str">
        <f>VLOOKUP(B265,Listas!A$3:C$30,3,0)</f>
        <v>Secretaria Municipal de Educação</v>
      </c>
      <c r="D265" s="3" t="str">
        <f>VLOOKUP(B265,Listas!A$3:C$30,2,0)</f>
        <v>18101</v>
      </c>
      <c r="E265" s="13" t="s">
        <v>377</v>
      </c>
      <c r="F265" s="3" t="s">
        <v>425</v>
      </c>
      <c r="G265" s="3" t="s">
        <v>425</v>
      </c>
      <c r="H265" s="5" t="s">
        <v>425</v>
      </c>
      <c r="I265" s="5"/>
      <c r="J265" s="3" t="s">
        <v>425</v>
      </c>
      <c r="K265" s="12" t="s">
        <v>425</v>
      </c>
      <c r="L265" s="3" t="s">
        <v>425</v>
      </c>
      <c r="M265" s="3" t="s">
        <v>425</v>
      </c>
      <c r="N265" s="3" t="s">
        <v>425</v>
      </c>
      <c r="O265" s="3" t="s">
        <v>425</v>
      </c>
      <c r="P265" s="3" t="s">
        <v>425</v>
      </c>
      <c r="Q265" s="3" t="s">
        <v>425</v>
      </c>
    </row>
    <row r="266" spans="1:17" x14ac:dyDescent="0.2">
      <c r="A266" s="15">
        <f t="shared" si="4"/>
        <v>264</v>
      </c>
      <c r="B266" s="3" t="s">
        <v>63</v>
      </c>
      <c r="C266" s="3" t="str">
        <f>VLOOKUP(B266,Listas!A$3:C$30,3,0)</f>
        <v>Secretaria Municipal de Educação</v>
      </c>
      <c r="D266" s="3" t="str">
        <f>VLOOKUP(B266,Listas!A$3:C$30,2,0)</f>
        <v>18101</v>
      </c>
      <c r="E266" s="13" t="s">
        <v>378</v>
      </c>
      <c r="F266" s="3" t="s">
        <v>425</v>
      </c>
      <c r="G266" s="3" t="s">
        <v>425</v>
      </c>
      <c r="H266" s="5" t="s">
        <v>425</v>
      </c>
      <c r="I266" s="5"/>
      <c r="J266" s="3" t="s">
        <v>425</v>
      </c>
      <c r="K266" s="12" t="s">
        <v>425</v>
      </c>
      <c r="L266" s="3" t="s">
        <v>425</v>
      </c>
      <c r="M266" s="3" t="s">
        <v>425</v>
      </c>
      <c r="N266" s="3" t="s">
        <v>425</v>
      </c>
      <c r="O266" s="3" t="s">
        <v>425</v>
      </c>
      <c r="P266" s="3" t="s">
        <v>425</v>
      </c>
      <c r="Q266" s="3" t="s">
        <v>425</v>
      </c>
    </row>
    <row r="267" spans="1:17" x14ac:dyDescent="0.2">
      <c r="A267" s="15">
        <f t="shared" si="4"/>
        <v>265</v>
      </c>
      <c r="B267" s="3" t="s">
        <v>63</v>
      </c>
      <c r="C267" s="3" t="str">
        <f>VLOOKUP(B267,Listas!A$3:C$30,3,0)</f>
        <v>Secretaria Municipal de Educação</v>
      </c>
      <c r="D267" s="3" t="str">
        <f>VLOOKUP(B267,Listas!A$3:C$30,2,0)</f>
        <v>18101</v>
      </c>
      <c r="E267" s="13" t="s">
        <v>379</v>
      </c>
      <c r="F267" s="3" t="s">
        <v>425</v>
      </c>
      <c r="G267" s="3" t="s">
        <v>425</v>
      </c>
      <c r="H267" s="5" t="s">
        <v>425</v>
      </c>
      <c r="I267" s="5"/>
      <c r="J267" s="3" t="s">
        <v>425</v>
      </c>
      <c r="K267" s="12" t="s">
        <v>425</v>
      </c>
      <c r="L267" s="3" t="s">
        <v>425</v>
      </c>
      <c r="M267" s="3" t="s">
        <v>425</v>
      </c>
      <c r="N267" s="3" t="s">
        <v>425</v>
      </c>
      <c r="O267" s="3" t="s">
        <v>425</v>
      </c>
      <c r="P267" s="3" t="s">
        <v>425</v>
      </c>
      <c r="Q267" s="3" t="s">
        <v>425</v>
      </c>
    </row>
    <row r="268" spans="1:17" x14ac:dyDescent="0.2">
      <c r="A268" s="15">
        <f t="shared" si="4"/>
        <v>266</v>
      </c>
      <c r="B268" s="3" t="s">
        <v>63</v>
      </c>
      <c r="C268" s="3" t="str">
        <f>VLOOKUP(B268,Listas!A$3:C$30,3,0)</f>
        <v>Secretaria Municipal de Educação</v>
      </c>
      <c r="D268" s="3" t="str">
        <f>VLOOKUP(B268,Listas!A$3:C$30,2,0)</f>
        <v>18101</v>
      </c>
      <c r="E268" s="13" t="s">
        <v>380</v>
      </c>
      <c r="F268" s="3" t="s">
        <v>425</v>
      </c>
      <c r="G268" s="3" t="s">
        <v>425</v>
      </c>
      <c r="H268" s="5" t="s">
        <v>425</v>
      </c>
      <c r="I268" s="5"/>
      <c r="J268" s="3" t="s">
        <v>425</v>
      </c>
      <c r="K268" s="12" t="s">
        <v>425</v>
      </c>
      <c r="L268" s="3" t="s">
        <v>425</v>
      </c>
      <c r="M268" s="3" t="s">
        <v>425</v>
      </c>
      <c r="N268" s="3" t="s">
        <v>425</v>
      </c>
      <c r="O268" s="3" t="s">
        <v>425</v>
      </c>
      <c r="P268" s="3" t="s">
        <v>425</v>
      </c>
      <c r="Q268" s="3" t="s">
        <v>425</v>
      </c>
    </row>
    <row r="269" spans="1:17" x14ac:dyDescent="0.2">
      <c r="A269" s="15">
        <f t="shared" si="4"/>
        <v>267</v>
      </c>
      <c r="B269" s="3" t="s">
        <v>63</v>
      </c>
      <c r="C269" s="3" t="str">
        <f>VLOOKUP(B269,Listas!A$3:C$30,3,0)</f>
        <v>Secretaria Municipal de Educação</v>
      </c>
      <c r="D269" s="3" t="str">
        <f>VLOOKUP(B269,Listas!A$3:C$30,2,0)</f>
        <v>18101</v>
      </c>
      <c r="E269" s="13" t="s">
        <v>381</v>
      </c>
      <c r="F269" s="3" t="s">
        <v>425</v>
      </c>
      <c r="G269" s="3" t="s">
        <v>425</v>
      </c>
      <c r="H269" s="5" t="s">
        <v>425</v>
      </c>
      <c r="I269" s="5"/>
      <c r="J269" s="3" t="s">
        <v>425</v>
      </c>
      <c r="K269" s="12" t="s">
        <v>425</v>
      </c>
      <c r="L269" s="3" t="s">
        <v>425</v>
      </c>
      <c r="M269" s="3" t="s">
        <v>425</v>
      </c>
      <c r="N269" s="3" t="s">
        <v>425</v>
      </c>
      <c r="O269" s="3" t="s">
        <v>425</v>
      </c>
      <c r="P269" s="3" t="s">
        <v>425</v>
      </c>
      <c r="Q269" s="3" t="s">
        <v>425</v>
      </c>
    </row>
    <row r="270" spans="1:17" x14ac:dyDescent="0.2">
      <c r="A270" s="15">
        <f t="shared" si="4"/>
        <v>268</v>
      </c>
      <c r="B270" s="3" t="s">
        <v>63</v>
      </c>
      <c r="C270" s="3" t="str">
        <f>VLOOKUP(B270,Listas!A$3:C$30,3,0)</f>
        <v>Secretaria Municipal de Educação</v>
      </c>
      <c r="D270" s="3" t="str">
        <f>VLOOKUP(B270,Listas!A$3:C$30,2,0)</f>
        <v>18101</v>
      </c>
      <c r="E270" s="13" t="s">
        <v>382</v>
      </c>
      <c r="F270" s="3" t="s">
        <v>425</v>
      </c>
      <c r="G270" s="3" t="s">
        <v>425</v>
      </c>
      <c r="H270" s="5" t="s">
        <v>425</v>
      </c>
      <c r="I270" s="5"/>
      <c r="J270" s="3" t="s">
        <v>425</v>
      </c>
      <c r="K270" s="12" t="s">
        <v>425</v>
      </c>
      <c r="L270" s="3" t="s">
        <v>425</v>
      </c>
      <c r="M270" s="3" t="s">
        <v>425</v>
      </c>
      <c r="N270" s="3" t="s">
        <v>425</v>
      </c>
      <c r="O270" s="3" t="s">
        <v>425</v>
      </c>
      <c r="P270" s="3" t="s">
        <v>425</v>
      </c>
      <c r="Q270" s="3" t="s">
        <v>425</v>
      </c>
    </row>
    <row r="271" spans="1:17" x14ac:dyDescent="0.2">
      <c r="A271" s="15">
        <f t="shared" si="4"/>
        <v>269</v>
      </c>
      <c r="B271" s="3" t="s">
        <v>63</v>
      </c>
      <c r="C271" s="3" t="str">
        <f>VLOOKUP(B271,Listas!A$3:C$30,3,0)</f>
        <v>Secretaria Municipal de Educação</v>
      </c>
      <c r="D271" s="3" t="str">
        <f>VLOOKUP(B271,Listas!A$3:C$30,2,0)</f>
        <v>18101</v>
      </c>
      <c r="E271" s="13" t="s">
        <v>383</v>
      </c>
      <c r="F271" s="3" t="s">
        <v>425</v>
      </c>
      <c r="G271" s="3" t="s">
        <v>425</v>
      </c>
      <c r="H271" s="5" t="s">
        <v>425</v>
      </c>
      <c r="I271" s="5"/>
      <c r="J271" s="3" t="s">
        <v>425</v>
      </c>
      <c r="K271" s="12" t="s">
        <v>425</v>
      </c>
      <c r="L271" s="3" t="s">
        <v>425</v>
      </c>
      <c r="M271" s="3" t="s">
        <v>425</v>
      </c>
      <c r="N271" s="3" t="s">
        <v>425</v>
      </c>
      <c r="O271" s="3" t="s">
        <v>425</v>
      </c>
      <c r="P271" s="3" t="s">
        <v>425</v>
      </c>
      <c r="Q271" s="3" t="s">
        <v>425</v>
      </c>
    </row>
    <row r="272" spans="1:17" x14ac:dyDescent="0.2">
      <c r="A272" s="15">
        <f t="shared" si="4"/>
        <v>270</v>
      </c>
      <c r="B272" s="3" t="s">
        <v>63</v>
      </c>
      <c r="C272" s="3" t="str">
        <f>VLOOKUP(B272,Listas!A$3:C$30,3,0)</f>
        <v>Secretaria Municipal de Educação</v>
      </c>
      <c r="D272" s="3" t="str">
        <f>VLOOKUP(B272,Listas!A$3:C$30,2,0)</f>
        <v>18101</v>
      </c>
      <c r="E272" s="13" t="s">
        <v>384</v>
      </c>
      <c r="F272" s="3" t="s">
        <v>425</v>
      </c>
      <c r="G272" s="3" t="s">
        <v>425</v>
      </c>
      <c r="H272" s="5" t="s">
        <v>425</v>
      </c>
      <c r="I272" s="5"/>
      <c r="J272" s="3" t="s">
        <v>425</v>
      </c>
      <c r="K272" s="12" t="s">
        <v>425</v>
      </c>
      <c r="L272" s="3" t="s">
        <v>425</v>
      </c>
      <c r="M272" s="3" t="s">
        <v>425</v>
      </c>
      <c r="N272" s="3" t="s">
        <v>425</v>
      </c>
      <c r="O272" s="3" t="s">
        <v>425</v>
      </c>
      <c r="P272" s="3" t="s">
        <v>425</v>
      </c>
      <c r="Q272" s="3" t="s">
        <v>425</v>
      </c>
    </row>
    <row r="273" spans="1:17" x14ac:dyDescent="0.2">
      <c r="A273" s="15">
        <f t="shared" si="4"/>
        <v>271</v>
      </c>
      <c r="B273" s="3" t="s">
        <v>63</v>
      </c>
      <c r="C273" s="3" t="str">
        <f>VLOOKUP(B273,Listas!A$3:C$30,3,0)</f>
        <v>Secretaria Municipal de Educação</v>
      </c>
      <c r="D273" s="3" t="str">
        <f>VLOOKUP(B273,Listas!A$3:C$30,2,0)</f>
        <v>18101</v>
      </c>
      <c r="E273" s="13" t="s">
        <v>385</v>
      </c>
      <c r="F273" s="3" t="s">
        <v>425</v>
      </c>
      <c r="G273" s="3" t="s">
        <v>425</v>
      </c>
      <c r="H273" s="5" t="s">
        <v>425</v>
      </c>
      <c r="I273" s="5"/>
      <c r="J273" s="3" t="s">
        <v>425</v>
      </c>
      <c r="K273" s="12" t="s">
        <v>425</v>
      </c>
      <c r="L273" s="3" t="s">
        <v>425</v>
      </c>
      <c r="M273" s="3" t="s">
        <v>425</v>
      </c>
      <c r="N273" s="3" t="s">
        <v>425</v>
      </c>
      <c r="O273" s="3" t="s">
        <v>425</v>
      </c>
      <c r="P273" s="3" t="s">
        <v>425</v>
      </c>
      <c r="Q273" s="3" t="s">
        <v>425</v>
      </c>
    </row>
    <row r="274" spans="1:17" x14ac:dyDescent="0.2">
      <c r="A274" s="15">
        <f t="shared" si="4"/>
        <v>272</v>
      </c>
      <c r="B274" s="3" t="s">
        <v>63</v>
      </c>
      <c r="C274" s="3" t="str">
        <f>VLOOKUP(B274,Listas!A$3:C$30,3,0)</f>
        <v>Secretaria Municipal de Educação</v>
      </c>
      <c r="D274" s="3" t="str">
        <f>VLOOKUP(B274,Listas!A$3:C$30,2,0)</f>
        <v>18101</v>
      </c>
      <c r="E274" s="13" t="s">
        <v>386</v>
      </c>
      <c r="F274" s="3" t="s">
        <v>425</v>
      </c>
      <c r="G274" s="3" t="s">
        <v>425</v>
      </c>
      <c r="H274" s="5" t="s">
        <v>425</v>
      </c>
      <c r="I274" s="5"/>
      <c r="J274" s="3" t="s">
        <v>425</v>
      </c>
      <c r="K274" s="12" t="s">
        <v>425</v>
      </c>
      <c r="L274" s="3" t="s">
        <v>425</v>
      </c>
      <c r="M274" s="3" t="s">
        <v>425</v>
      </c>
      <c r="N274" s="3" t="s">
        <v>425</v>
      </c>
      <c r="O274" s="3" t="s">
        <v>425</v>
      </c>
      <c r="P274" s="3" t="s">
        <v>425</v>
      </c>
      <c r="Q274" s="3" t="s">
        <v>425</v>
      </c>
    </row>
    <row r="275" spans="1:17" x14ac:dyDescent="0.2">
      <c r="A275" s="15">
        <f t="shared" si="4"/>
        <v>273</v>
      </c>
      <c r="B275" s="3" t="s">
        <v>63</v>
      </c>
      <c r="C275" s="3" t="str">
        <f>VLOOKUP(B275,Listas!A$3:C$30,3,0)</f>
        <v>Secretaria Municipal de Educação</v>
      </c>
      <c r="D275" s="3" t="str">
        <f>VLOOKUP(B275,Listas!A$3:C$30,2,0)</f>
        <v>18101</v>
      </c>
      <c r="E275" s="13" t="s">
        <v>387</v>
      </c>
      <c r="F275" s="3" t="s">
        <v>425</v>
      </c>
      <c r="G275" s="3" t="s">
        <v>425</v>
      </c>
      <c r="H275" s="5" t="s">
        <v>425</v>
      </c>
      <c r="I275" s="5"/>
      <c r="J275" s="3" t="s">
        <v>425</v>
      </c>
      <c r="K275" s="12" t="s">
        <v>425</v>
      </c>
      <c r="L275" s="3" t="s">
        <v>425</v>
      </c>
      <c r="M275" s="3" t="s">
        <v>425</v>
      </c>
      <c r="N275" s="3" t="s">
        <v>425</v>
      </c>
      <c r="O275" s="3" t="s">
        <v>425</v>
      </c>
      <c r="P275" s="3" t="s">
        <v>425</v>
      </c>
      <c r="Q275" s="3" t="s">
        <v>425</v>
      </c>
    </row>
    <row r="276" spans="1:17" x14ac:dyDescent="0.2">
      <c r="A276" s="15">
        <f t="shared" si="4"/>
        <v>274</v>
      </c>
      <c r="B276" s="3" t="s">
        <v>63</v>
      </c>
      <c r="C276" s="3" t="str">
        <f>VLOOKUP(B276,Listas!A$3:C$30,3,0)</f>
        <v>Secretaria Municipal de Educação</v>
      </c>
      <c r="D276" s="3" t="str">
        <f>VLOOKUP(B276,Listas!A$3:C$30,2,0)</f>
        <v>18101</v>
      </c>
      <c r="E276" s="13" t="s">
        <v>388</v>
      </c>
      <c r="F276" s="3" t="s">
        <v>425</v>
      </c>
      <c r="G276" s="3" t="s">
        <v>425</v>
      </c>
      <c r="H276" s="5" t="s">
        <v>425</v>
      </c>
      <c r="I276" s="5"/>
      <c r="J276" s="3" t="s">
        <v>425</v>
      </c>
      <c r="K276" s="12" t="s">
        <v>425</v>
      </c>
      <c r="L276" s="3" t="s">
        <v>425</v>
      </c>
      <c r="M276" s="3" t="s">
        <v>425</v>
      </c>
      <c r="N276" s="3" t="s">
        <v>425</v>
      </c>
      <c r="O276" s="3" t="s">
        <v>425</v>
      </c>
      <c r="P276" s="3" t="s">
        <v>425</v>
      </c>
      <c r="Q276" s="3" t="s">
        <v>425</v>
      </c>
    </row>
    <row r="277" spans="1:17" x14ac:dyDescent="0.2">
      <c r="A277" s="15">
        <f t="shared" si="4"/>
        <v>275</v>
      </c>
      <c r="B277" s="3" t="s">
        <v>63</v>
      </c>
      <c r="C277" s="3" t="str">
        <f>VLOOKUP(B277,Listas!A$3:C$30,3,0)</f>
        <v>Secretaria Municipal de Educação</v>
      </c>
      <c r="D277" s="3" t="str">
        <f>VLOOKUP(B277,Listas!A$3:C$30,2,0)</f>
        <v>18101</v>
      </c>
      <c r="E277" s="13" t="s">
        <v>389</v>
      </c>
      <c r="F277" s="3" t="s">
        <v>425</v>
      </c>
      <c r="G277" s="3" t="s">
        <v>425</v>
      </c>
      <c r="H277" s="5" t="s">
        <v>425</v>
      </c>
      <c r="I277" s="5"/>
      <c r="J277" s="3" t="s">
        <v>425</v>
      </c>
      <c r="K277" s="12" t="s">
        <v>425</v>
      </c>
      <c r="L277" s="3" t="s">
        <v>425</v>
      </c>
      <c r="M277" s="3" t="s">
        <v>425</v>
      </c>
      <c r="N277" s="3" t="s">
        <v>425</v>
      </c>
      <c r="O277" s="3" t="s">
        <v>425</v>
      </c>
      <c r="P277" s="3" t="s">
        <v>425</v>
      </c>
      <c r="Q277" s="3" t="s">
        <v>425</v>
      </c>
    </row>
    <row r="278" spans="1:17" x14ac:dyDescent="0.2">
      <c r="A278" s="15">
        <f t="shared" si="4"/>
        <v>276</v>
      </c>
      <c r="B278" s="3" t="s">
        <v>63</v>
      </c>
      <c r="C278" s="3" t="str">
        <f>VLOOKUP(B278,Listas!A$3:C$30,3,0)</f>
        <v>Secretaria Municipal de Educação</v>
      </c>
      <c r="D278" s="3" t="str">
        <f>VLOOKUP(B278,Listas!A$3:C$30,2,0)</f>
        <v>18101</v>
      </c>
      <c r="E278" s="13" t="s">
        <v>390</v>
      </c>
      <c r="F278" s="3" t="s">
        <v>425</v>
      </c>
      <c r="G278" s="3" t="s">
        <v>425</v>
      </c>
      <c r="H278" s="5" t="s">
        <v>425</v>
      </c>
      <c r="I278" s="5"/>
      <c r="J278" s="3" t="s">
        <v>425</v>
      </c>
      <c r="K278" s="12" t="s">
        <v>425</v>
      </c>
      <c r="L278" s="3" t="s">
        <v>425</v>
      </c>
      <c r="M278" s="3" t="s">
        <v>425</v>
      </c>
      <c r="N278" s="3" t="s">
        <v>425</v>
      </c>
      <c r="O278" s="3" t="s">
        <v>425</v>
      </c>
      <c r="P278" s="3" t="s">
        <v>425</v>
      </c>
      <c r="Q278" s="3" t="s">
        <v>425</v>
      </c>
    </row>
    <row r="279" spans="1:17" x14ac:dyDescent="0.2">
      <c r="A279" s="15">
        <f t="shared" si="4"/>
        <v>277</v>
      </c>
      <c r="B279" s="3" t="s">
        <v>63</v>
      </c>
      <c r="C279" s="3" t="str">
        <f>VLOOKUP(B279,Listas!A$3:C$30,3,0)</f>
        <v>Secretaria Municipal de Educação</v>
      </c>
      <c r="D279" s="3" t="str">
        <f>VLOOKUP(B279,Listas!A$3:C$30,2,0)</f>
        <v>18101</v>
      </c>
      <c r="E279" s="13" t="s">
        <v>391</v>
      </c>
      <c r="F279" s="3" t="s">
        <v>425</v>
      </c>
      <c r="G279" s="3" t="s">
        <v>425</v>
      </c>
      <c r="H279" s="5" t="s">
        <v>425</v>
      </c>
      <c r="I279" s="5"/>
      <c r="J279" s="3" t="s">
        <v>425</v>
      </c>
      <c r="K279" s="12" t="s">
        <v>425</v>
      </c>
      <c r="L279" s="3" t="s">
        <v>425</v>
      </c>
      <c r="M279" s="3" t="s">
        <v>425</v>
      </c>
      <c r="N279" s="3" t="s">
        <v>425</v>
      </c>
      <c r="O279" s="3" t="s">
        <v>425</v>
      </c>
      <c r="P279" s="3" t="s">
        <v>425</v>
      </c>
      <c r="Q279" s="3" t="s">
        <v>425</v>
      </c>
    </row>
    <row r="280" spans="1:17" x14ac:dyDescent="0.2">
      <c r="A280" s="15">
        <f t="shared" si="4"/>
        <v>278</v>
      </c>
      <c r="B280" s="3" t="s">
        <v>63</v>
      </c>
      <c r="C280" s="3" t="str">
        <f>VLOOKUP(B280,Listas!A$3:C$30,3,0)</f>
        <v>Secretaria Municipal de Educação</v>
      </c>
      <c r="D280" s="3" t="str">
        <f>VLOOKUP(B280,Listas!A$3:C$30,2,0)</f>
        <v>18101</v>
      </c>
      <c r="E280" s="13" t="s">
        <v>392</v>
      </c>
      <c r="F280" s="3" t="s">
        <v>425</v>
      </c>
      <c r="G280" s="3" t="s">
        <v>425</v>
      </c>
      <c r="H280" s="5" t="s">
        <v>425</v>
      </c>
      <c r="I280" s="5"/>
      <c r="J280" s="3" t="s">
        <v>425</v>
      </c>
      <c r="K280" s="12" t="s">
        <v>425</v>
      </c>
      <c r="L280" s="3" t="s">
        <v>425</v>
      </c>
      <c r="M280" s="3" t="s">
        <v>425</v>
      </c>
      <c r="N280" s="3" t="s">
        <v>425</v>
      </c>
      <c r="O280" s="3" t="s">
        <v>425</v>
      </c>
      <c r="P280" s="3" t="s">
        <v>425</v>
      </c>
      <c r="Q280" s="3" t="s">
        <v>425</v>
      </c>
    </row>
    <row r="281" spans="1:17" x14ac:dyDescent="0.2">
      <c r="A281" s="15">
        <f t="shared" si="4"/>
        <v>279</v>
      </c>
      <c r="B281" s="3" t="s">
        <v>63</v>
      </c>
      <c r="C281" s="3" t="str">
        <f>VLOOKUP(B281,Listas!A$3:C$30,3,0)</f>
        <v>Secretaria Municipal de Educação</v>
      </c>
      <c r="D281" s="3" t="str">
        <f>VLOOKUP(B281,Listas!A$3:C$30,2,0)</f>
        <v>18101</v>
      </c>
      <c r="E281" s="13" t="s">
        <v>393</v>
      </c>
      <c r="F281" s="3" t="s">
        <v>425</v>
      </c>
      <c r="G281" s="3" t="s">
        <v>425</v>
      </c>
      <c r="H281" s="5" t="s">
        <v>425</v>
      </c>
      <c r="I281" s="5"/>
      <c r="J281" s="3" t="s">
        <v>425</v>
      </c>
      <c r="K281" s="12" t="s">
        <v>425</v>
      </c>
      <c r="L281" s="3" t="s">
        <v>425</v>
      </c>
      <c r="M281" s="3" t="s">
        <v>425</v>
      </c>
      <c r="N281" s="3" t="s">
        <v>425</v>
      </c>
      <c r="O281" s="3" t="s">
        <v>425</v>
      </c>
      <c r="P281" s="3" t="s">
        <v>425</v>
      </c>
      <c r="Q281" s="3" t="s">
        <v>425</v>
      </c>
    </row>
    <row r="282" spans="1:17" x14ac:dyDescent="0.2">
      <c r="A282" s="15">
        <f t="shared" si="4"/>
        <v>280</v>
      </c>
      <c r="B282" s="3" t="s">
        <v>63</v>
      </c>
      <c r="C282" s="3" t="str">
        <f>VLOOKUP(B282,Listas!A$3:C$30,3,0)</f>
        <v>Secretaria Municipal de Educação</v>
      </c>
      <c r="D282" s="3" t="str">
        <f>VLOOKUP(B282,Listas!A$3:C$30,2,0)</f>
        <v>18101</v>
      </c>
      <c r="E282" s="13" t="s">
        <v>403</v>
      </c>
      <c r="F282" s="3" t="s">
        <v>425</v>
      </c>
      <c r="G282" s="3" t="s">
        <v>425</v>
      </c>
      <c r="H282" s="5" t="s">
        <v>425</v>
      </c>
      <c r="I282" s="5"/>
      <c r="J282" s="3" t="s">
        <v>425</v>
      </c>
      <c r="K282" s="12" t="s">
        <v>425</v>
      </c>
      <c r="L282" s="3" t="s">
        <v>425</v>
      </c>
      <c r="M282" s="3" t="s">
        <v>425</v>
      </c>
      <c r="N282" s="3" t="s">
        <v>425</v>
      </c>
      <c r="O282" s="3" t="s">
        <v>425</v>
      </c>
      <c r="P282" s="3" t="s">
        <v>425</v>
      </c>
      <c r="Q282" s="3" t="s">
        <v>425</v>
      </c>
    </row>
    <row r="283" spans="1:17" x14ac:dyDescent="0.2">
      <c r="A283" s="15">
        <f t="shared" si="4"/>
        <v>281</v>
      </c>
      <c r="B283" s="3" t="s">
        <v>63</v>
      </c>
      <c r="C283" s="3" t="str">
        <f>VLOOKUP(B283,Listas!A$3:C$30,3,0)</f>
        <v>Secretaria Municipal de Educação</v>
      </c>
      <c r="D283" s="3" t="str">
        <f>VLOOKUP(B283,Listas!A$3:C$30,2,0)</f>
        <v>18101</v>
      </c>
      <c r="E283" s="13" t="s">
        <v>394</v>
      </c>
      <c r="F283" s="3" t="s">
        <v>425</v>
      </c>
      <c r="G283" s="3" t="s">
        <v>425</v>
      </c>
      <c r="H283" s="5" t="s">
        <v>425</v>
      </c>
      <c r="I283" s="5"/>
      <c r="J283" s="3" t="s">
        <v>425</v>
      </c>
      <c r="K283" s="12" t="s">
        <v>425</v>
      </c>
      <c r="L283" s="3" t="s">
        <v>425</v>
      </c>
      <c r="M283" s="3" t="s">
        <v>425</v>
      </c>
      <c r="N283" s="3" t="s">
        <v>425</v>
      </c>
      <c r="O283" s="3" t="s">
        <v>425</v>
      </c>
      <c r="P283" s="3" t="s">
        <v>425</v>
      </c>
      <c r="Q283" s="3" t="s">
        <v>425</v>
      </c>
    </row>
    <row r="284" spans="1:17" x14ac:dyDescent="0.2">
      <c r="A284" s="15">
        <f t="shared" si="4"/>
        <v>282</v>
      </c>
      <c r="B284" s="3" t="s">
        <v>63</v>
      </c>
      <c r="C284" s="3" t="str">
        <f>VLOOKUP(B284,Listas!A$3:C$30,3,0)</f>
        <v>Secretaria Municipal de Educação</v>
      </c>
      <c r="D284" s="3" t="str">
        <f>VLOOKUP(B284,Listas!A$3:C$30,2,0)</f>
        <v>18101</v>
      </c>
      <c r="E284" s="13" t="s">
        <v>395</v>
      </c>
      <c r="F284" s="3" t="s">
        <v>425</v>
      </c>
      <c r="G284" s="3" t="s">
        <v>425</v>
      </c>
      <c r="H284" s="5" t="s">
        <v>425</v>
      </c>
      <c r="I284" s="5"/>
      <c r="J284" s="3" t="s">
        <v>425</v>
      </c>
      <c r="K284" s="12" t="s">
        <v>425</v>
      </c>
      <c r="L284" s="3" t="s">
        <v>425</v>
      </c>
      <c r="M284" s="3" t="s">
        <v>425</v>
      </c>
      <c r="N284" s="3" t="s">
        <v>425</v>
      </c>
      <c r="O284" s="3" t="s">
        <v>425</v>
      </c>
      <c r="P284" s="3" t="s">
        <v>425</v>
      </c>
      <c r="Q284" s="3" t="s">
        <v>425</v>
      </c>
    </row>
    <row r="285" spans="1:17" x14ac:dyDescent="0.2">
      <c r="A285" s="15">
        <f t="shared" si="4"/>
        <v>283</v>
      </c>
      <c r="B285" s="3" t="s">
        <v>63</v>
      </c>
      <c r="C285" s="3" t="str">
        <f>VLOOKUP(B285,Listas!A$3:C$30,3,0)</f>
        <v>Secretaria Municipal de Educação</v>
      </c>
      <c r="D285" s="3" t="str">
        <f>VLOOKUP(B285,Listas!A$3:C$30,2,0)</f>
        <v>18101</v>
      </c>
      <c r="E285" s="13" t="s">
        <v>405</v>
      </c>
      <c r="F285" s="3" t="s">
        <v>425</v>
      </c>
      <c r="G285" s="3" t="s">
        <v>425</v>
      </c>
      <c r="H285" s="5" t="s">
        <v>425</v>
      </c>
      <c r="I285" s="5"/>
      <c r="J285" s="3" t="s">
        <v>425</v>
      </c>
      <c r="K285" s="12" t="s">
        <v>425</v>
      </c>
      <c r="L285" s="3" t="s">
        <v>425</v>
      </c>
      <c r="M285" s="3" t="s">
        <v>425</v>
      </c>
      <c r="N285" s="3" t="s">
        <v>425</v>
      </c>
      <c r="O285" s="3" t="s">
        <v>425</v>
      </c>
      <c r="P285" s="3" t="s">
        <v>425</v>
      </c>
      <c r="Q285" s="3" t="s">
        <v>425</v>
      </c>
    </row>
    <row r="286" spans="1:17" x14ac:dyDescent="0.2">
      <c r="A286" s="15">
        <f t="shared" si="4"/>
        <v>284</v>
      </c>
      <c r="B286" s="3" t="s">
        <v>63</v>
      </c>
      <c r="C286" s="3" t="str">
        <f>VLOOKUP(B286,Listas!A$3:C$30,3,0)</f>
        <v>Secretaria Municipal de Educação</v>
      </c>
      <c r="D286" s="3" t="str">
        <f>VLOOKUP(B286,Listas!A$3:C$30,2,0)</f>
        <v>18101</v>
      </c>
      <c r="E286" s="13" t="s">
        <v>396</v>
      </c>
      <c r="F286" s="3" t="s">
        <v>425</v>
      </c>
      <c r="G286" s="3" t="s">
        <v>425</v>
      </c>
      <c r="H286" s="5" t="s">
        <v>425</v>
      </c>
      <c r="I286" s="5"/>
      <c r="J286" s="3" t="s">
        <v>425</v>
      </c>
      <c r="K286" s="12" t="s">
        <v>425</v>
      </c>
      <c r="L286" s="3" t="s">
        <v>425</v>
      </c>
      <c r="M286" s="3" t="s">
        <v>425</v>
      </c>
      <c r="N286" s="3" t="s">
        <v>425</v>
      </c>
      <c r="O286" s="3" t="s">
        <v>425</v>
      </c>
      <c r="P286" s="3" t="s">
        <v>425</v>
      </c>
      <c r="Q286" s="3" t="s">
        <v>425</v>
      </c>
    </row>
    <row r="287" spans="1:17" x14ac:dyDescent="0.2">
      <c r="A287" s="15">
        <f t="shared" si="4"/>
        <v>285</v>
      </c>
      <c r="B287" s="3" t="s">
        <v>63</v>
      </c>
      <c r="C287" s="3" t="str">
        <f>VLOOKUP(B287,Listas!A$3:C$30,3,0)</f>
        <v>Secretaria Municipal de Educação</v>
      </c>
      <c r="D287" s="3" t="str">
        <f>VLOOKUP(B287,Listas!A$3:C$30,2,0)</f>
        <v>18101</v>
      </c>
      <c r="E287" s="13" t="s">
        <v>397</v>
      </c>
      <c r="F287" s="3" t="s">
        <v>425</v>
      </c>
      <c r="G287" s="3" t="s">
        <v>425</v>
      </c>
      <c r="H287" s="5" t="s">
        <v>425</v>
      </c>
      <c r="I287" s="5"/>
      <c r="J287" s="3" t="s">
        <v>425</v>
      </c>
      <c r="K287" s="12" t="s">
        <v>425</v>
      </c>
      <c r="L287" s="3" t="s">
        <v>425</v>
      </c>
      <c r="M287" s="3" t="s">
        <v>425</v>
      </c>
      <c r="N287" s="3" t="s">
        <v>425</v>
      </c>
      <c r="O287" s="3" t="s">
        <v>425</v>
      </c>
      <c r="P287" s="3" t="s">
        <v>425</v>
      </c>
      <c r="Q287" s="3" t="s">
        <v>425</v>
      </c>
    </row>
    <row r="288" spans="1:17" x14ac:dyDescent="0.2">
      <c r="A288" s="15">
        <f t="shared" si="4"/>
        <v>286</v>
      </c>
      <c r="B288" s="3" t="s">
        <v>63</v>
      </c>
      <c r="C288" s="3" t="str">
        <f>VLOOKUP(B288,Listas!A$3:C$30,3,0)</f>
        <v>Secretaria Municipal de Educação</v>
      </c>
      <c r="D288" s="3" t="str">
        <f>VLOOKUP(B288,Listas!A$3:C$30,2,0)</f>
        <v>18101</v>
      </c>
      <c r="E288" s="13" t="s">
        <v>407</v>
      </c>
      <c r="F288" s="3" t="s">
        <v>425</v>
      </c>
      <c r="G288" s="3" t="s">
        <v>425</v>
      </c>
      <c r="H288" s="5" t="s">
        <v>425</v>
      </c>
      <c r="I288" s="5">
        <v>6249443.4699999997</v>
      </c>
      <c r="J288" s="3" t="s">
        <v>425</v>
      </c>
      <c r="K288" s="12" t="s">
        <v>425</v>
      </c>
      <c r="L288" s="3" t="s">
        <v>425</v>
      </c>
      <c r="M288" s="3" t="s">
        <v>425</v>
      </c>
      <c r="N288" s="3" t="s">
        <v>425</v>
      </c>
      <c r="O288" s="3" t="s">
        <v>425</v>
      </c>
      <c r="P288" s="3" t="s">
        <v>425</v>
      </c>
      <c r="Q288" s="3" t="s">
        <v>425</v>
      </c>
    </row>
    <row r="289" spans="1:17" x14ac:dyDescent="0.2">
      <c r="A289" s="15">
        <f t="shared" si="4"/>
        <v>287</v>
      </c>
      <c r="B289" s="3" t="s">
        <v>63</v>
      </c>
      <c r="C289" s="3" t="str">
        <f>VLOOKUP(B289,Listas!A$3:C$30,3,0)</f>
        <v>Secretaria Municipal de Educação</v>
      </c>
      <c r="D289" s="3" t="str">
        <f>VLOOKUP(B289,Listas!A$3:C$30,2,0)</f>
        <v>18101</v>
      </c>
      <c r="E289" s="13" t="s">
        <v>408</v>
      </c>
      <c r="F289" s="3" t="s">
        <v>425</v>
      </c>
      <c r="G289" s="3" t="s">
        <v>425</v>
      </c>
      <c r="H289" s="5" t="s">
        <v>425</v>
      </c>
      <c r="I289" s="5">
        <v>2097687.06</v>
      </c>
      <c r="J289" s="3" t="s">
        <v>425</v>
      </c>
      <c r="K289" s="12" t="s">
        <v>425</v>
      </c>
      <c r="L289" s="3" t="s">
        <v>425</v>
      </c>
      <c r="M289" s="3" t="s">
        <v>425</v>
      </c>
      <c r="N289" s="3" t="s">
        <v>425</v>
      </c>
      <c r="O289" s="3" t="s">
        <v>425</v>
      </c>
      <c r="P289" s="3" t="s">
        <v>425</v>
      </c>
      <c r="Q289" s="3" t="s">
        <v>425</v>
      </c>
    </row>
    <row r="290" spans="1:17" x14ac:dyDescent="0.2">
      <c r="A290" s="15">
        <f t="shared" si="4"/>
        <v>288</v>
      </c>
      <c r="B290" s="3" t="s">
        <v>63</v>
      </c>
      <c r="C290" s="3" t="str">
        <f>VLOOKUP(B290,Listas!A$3:C$30,3,0)</f>
        <v>Secretaria Municipal de Educação</v>
      </c>
      <c r="D290" s="3" t="str">
        <f>VLOOKUP(B290,Listas!A$3:C$30,2,0)</f>
        <v>18101</v>
      </c>
      <c r="E290" s="13" t="s">
        <v>409</v>
      </c>
      <c r="F290" s="3" t="s">
        <v>425</v>
      </c>
      <c r="G290" s="3" t="s">
        <v>425</v>
      </c>
      <c r="H290" s="5" t="s">
        <v>425</v>
      </c>
      <c r="I290" s="5">
        <v>6045605.8600000003</v>
      </c>
      <c r="J290" s="3" t="s">
        <v>425</v>
      </c>
      <c r="K290" s="12" t="s">
        <v>424</v>
      </c>
      <c r="L290" s="3">
        <v>5783</v>
      </c>
      <c r="M290" s="3" t="s">
        <v>404</v>
      </c>
      <c r="N290" s="3" t="s">
        <v>425</v>
      </c>
      <c r="O290" s="3" t="s">
        <v>425</v>
      </c>
      <c r="P290" s="3" t="s">
        <v>425</v>
      </c>
      <c r="Q290" s="3" t="s">
        <v>425</v>
      </c>
    </row>
    <row r="291" spans="1:17" x14ac:dyDescent="0.2">
      <c r="A291" s="15">
        <f t="shared" si="4"/>
        <v>289</v>
      </c>
      <c r="B291" s="3" t="s">
        <v>63</v>
      </c>
      <c r="C291" s="3" t="str">
        <f>VLOOKUP(B291,Listas!A$3:C$30,3,0)</f>
        <v>Secretaria Municipal de Educação</v>
      </c>
      <c r="D291" s="3" t="str">
        <f>VLOOKUP(B291,Listas!A$3:C$30,2,0)</f>
        <v>18101</v>
      </c>
      <c r="E291" s="13" t="s">
        <v>410</v>
      </c>
      <c r="F291" s="3" t="s">
        <v>425</v>
      </c>
      <c r="G291" s="3" t="s">
        <v>425</v>
      </c>
      <c r="H291" s="5" t="s">
        <v>425</v>
      </c>
      <c r="I291" s="5"/>
      <c r="J291" s="3" t="s">
        <v>425</v>
      </c>
      <c r="K291" s="12" t="s">
        <v>425</v>
      </c>
      <c r="L291" s="3" t="s">
        <v>425</v>
      </c>
      <c r="M291" s="3" t="s">
        <v>425</v>
      </c>
      <c r="N291" s="3" t="s">
        <v>425</v>
      </c>
      <c r="O291" s="3" t="s">
        <v>425</v>
      </c>
      <c r="P291" s="3" t="s">
        <v>425</v>
      </c>
      <c r="Q291" s="3" t="s">
        <v>425</v>
      </c>
    </row>
    <row r="292" spans="1:17" x14ac:dyDescent="0.2">
      <c r="A292" s="15">
        <f t="shared" si="4"/>
        <v>290</v>
      </c>
      <c r="B292" s="3" t="s">
        <v>63</v>
      </c>
      <c r="C292" s="3" t="str">
        <f>VLOOKUP(B292,Listas!A$3:C$30,3,0)</f>
        <v>Secretaria Municipal de Educação</v>
      </c>
      <c r="D292" s="3" t="str">
        <f>VLOOKUP(B292,Listas!A$3:C$30,2,0)</f>
        <v>18101</v>
      </c>
      <c r="E292" s="13" t="s">
        <v>411</v>
      </c>
      <c r="F292" s="3" t="s">
        <v>425</v>
      </c>
      <c r="G292" s="3" t="s">
        <v>425</v>
      </c>
      <c r="H292" s="5" t="s">
        <v>425</v>
      </c>
      <c r="I292" s="5"/>
      <c r="J292" s="3" t="s">
        <v>425</v>
      </c>
      <c r="K292" s="12" t="s">
        <v>425</v>
      </c>
      <c r="L292" s="3" t="s">
        <v>425</v>
      </c>
      <c r="M292" s="3" t="s">
        <v>425</v>
      </c>
      <c r="N292" s="3" t="s">
        <v>425</v>
      </c>
      <c r="O292" s="3" t="s">
        <v>425</v>
      </c>
      <c r="P292" s="3" t="s">
        <v>425</v>
      </c>
      <c r="Q292" s="3" t="s">
        <v>425</v>
      </c>
    </row>
    <row r="293" spans="1:17" x14ac:dyDescent="0.2">
      <c r="A293" s="15">
        <f t="shared" si="4"/>
        <v>291</v>
      </c>
      <c r="B293" s="3" t="s">
        <v>63</v>
      </c>
      <c r="C293" s="3" t="str">
        <f>VLOOKUP(B293,Listas!A$3:C$30,3,0)</f>
        <v>Secretaria Municipal de Educação</v>
      </c>
      <c r="D293" s="3" t="str">
        <f>VLOOKUP(B293,Listas!A$3:C$30,2,0)</f>
        <v>18101</v>
      </c>
      <c r="E293" s="13" t="s">
        <v>412</v>
      </c>
      <c r="F293" s="3" t="s">
        <v>425</v>
      </c>
      <c r="G293" s="3" t="s">
        <v>425</v>
      </c>
      <c r="H293" s="5" t="s">
        <v>425</v>
      </c>
      <c r="I293" s="5"/>
      <c r="J293" s="3" t="s">
        <v>425</v>
      </c>
      <c r="K293" s="12" t="s">
        <v>425</v>
      </c>
      <c r="L293" s="3" t="s">
        <v>425</v>
      </c>
      <c r="M293" s="3" t="s">
        <v>425</v>
      </c>
      <c r="N293" s="3" t="s">
        <v>425</v>
      </c>
      <c r="O293" s="3" t="s">
        <v>425</v>
      </c>
      <c r="P293" s="3" t="s">
        <v>425</v>
      </c>
      <c r="Q293" s="3" t="s">
        <v>425</v>
      </c>
    </row>
    <row r="294" spans="1:17" x14ac:dyDescent="0.2">
      <c r="A294" s="15">
        <f t="shared" si="4"/>
        <v>292</v>
      </c>
      <c r="B294" s="3" t="s">
        <v>63</v>
      </c>
      <c r="C294" s="3" t="str">
        <f>VLOOKUP(B294,Listas!A$3:C$30,3,0)</f>
        <v>Secretaria Municipal de Educação</v>
      </c>
      <c r="D294" s="3" t="str">
        <f>VLOOKUP(B294,Listas!A$3:C$30,2,0)</f>
        <v>18101</v>
      </c>
      <c r="E294" s="13" t="s">
        <v>413</v>
      </c>
      <c r="F294" s="3" t="s">
        <v>425</v>
      </c>
      <c r="G294" s="3" t="s">
        <v>425</v>
      </c>
      <c r="H294" s="5" t="s">
        <v>425</v>
      </c>
      <c r="I294" s="5"/>
      <c r="J294" s="3" t="s">
        <v>425</v>
      </c>
      <c r="K294" s="12" t="s">
        <v>425</v>
      </c>
      <c r="L294" s="3" t="s">
        <v>425</v>
      </c>
      <c r="M294" s="3" t="s">
        <v>425</v>
      </c>
      <c r="N294" s="3" t="s">
        <v>425</v>
      </c>
      <c r="O294" s="3" t="s">
        <v>425</v>
      </c>
      <c r="P294" s="3" t="s">
        <v>425</v>
      </c>
      <c r="Q294" s="3" t="s">
        <v>425</v>
      </c>
    </row>
    <row r="295" spans="1:17" x14ac:dyDescent="0.2">
      <c r="A295" s="15">
        <f t="shared" si="4"/>
        <v>293</v>
      </c>
      <c r="B295" s="3" t="s">
        <v>63</v>
      </c>
      <c r="C295" s="3" t="str">
        <f>VLOOKUP(B295,Listas!A$3:C$30,3,0)</f>
        <v>Secretaria Municipal de Educação</v>
      </c>
      <c r="D295" s="3" t="str">
        <f>VLOOKUP(B295,Listas!A$3:C$30,2,0)</f>
        <v>18101</v>
      </c>
      <c r="E295" s="13" t="s">
        <v>414</v>
      </c>
      <c r="F295" s="3" t="s">
        <v>425</v>
      </c>
      <c r="G295" s="3" t="s">
        <v>425</v>
      </c>
      <c r="H295" s="5" t="s">
        <v>425</v>
      </c>
      <c r="I295" s="5"/>
      <c r="J295" s="3" t="s">
        <v>425</v>
      </c>
      <c r="K295" s="12" t="s">
        <v>425</v>
      </c>
      <c r="L295" s="3" t="s">
        <v>425</v>
      </c>
      <c r="M295" s="3" t="s">
        <v>425</v>
      </c>
      <c r="N295" s="3" t="s">
        <v>425</v>
      </c>
      <c r="O295" s="3" t="s">
        <v>425</v>
      </c>
      <c r="P295" s="3" t="s">
        <v>425</v>
      </c>
      <c r="Q295" s="3" t="s">
        <v>425</v>
      </c>
    </row>
    <row r="296" spans="1:17" x14ac:dyDescent="0.2">
      <c r="A296" s="15">
        <f t="shared" si="4"/>
        <v>294</v>
      </c>
      <c r="B296" s="3" t="s">
        <v>63</v>
      </c>
      <c r="C296" s="3" t="str">
        <f>VLOOKUP(B296,Listas!A$3:C$30,3,0)</f>
        <v>Secretaria Municipal de Educação</v>
      </c>
      <c r="D296" s="3" t="str">
        <f>VLOOKUP(B296,Listas!A$3:C$30,2,0)</f>
        <v>18101</v>
      </c>
      <c r="E296" s="13" t="s">
        <v>415</v>
      </c>
      <c r="F296" s="3" t="s">
        <v>425</v>
      </c>
      <c r="G296" s="3" t="s">
        <v>425</v>
      </c>
      <c r="H296" s="5" t="s">
        <v>425</v>
      </c>
      <c r="I296" s="5"/>
      <c r="J296" s="3" t="s">
        <v>425</v>
      </c>
      <c r="K296" s="12" t="s">
        <v>425</v>
      </c>
      <c r="L296" s="3" t="s">
        <v>425</v>
      </c>
      <c r="M296" s="3" t="s">
        <v>425</v>
      </c>
      <c r="N296" s="3" t="s">
        <v>425</v>
      </c>
      <c r="O296" s="3" t="s">
        <v>425</v>
      </c>
      <c r="P296" s="3" t="s">
        <v>425</v>
      </c>
      <c r="Q296" s="3" t="s">
        <v>425</v>
      </c>
    </row>
    <row r="297" spans="1:17" x14ac:dyDescent="0.2">
      <c r="A297" s="15">
        <f t="shared" si="4"/>
        <v>295</v>
      </c>
      <c r="B297" s="3" t="s">
        <v>63</v>
      </c>
      <c r="C297" s="3" t="str">
        <f>VLOOKUP(B297,Listas!A$3:C$30,3,0)</f>
        <v>Secretaria Municipal de Educação</v>
      </c>
      <c r="D297" s="3" t="str">
        <f>VLOOKUP(B297,Listas!A$3:C$30,2,0)</f>
        <v>18101</v>
      </c>
      <c r="E297" s="13" t="s">
        <v>411</v>
      </c>
      <c r="F297" s="3" t="s">
        <v>425</v>
      </c>
      <c r="G297" s="3" t="s">
        <v>425</v>
      </c>
      <c r="H297" s="5" t="s">
        <v>425</v>
      </c>
      <c r="I297" s="5"/>
      <c r="J297" s="3" t="s">
        <v>425</v>
      </c>
      <c r="K297" s="12" t="s">
        <v>425</v>
      </c>
      <c r="L297" s="3" t="s">
        <v>425</v>
      </c>
      <c r="M297" s="3" t="s">
        <v>425</v>
      </c>
      <c r="N297" s="3" t="s">
        <v>425</v>
      </c>
      <c r="O297" s="3" t="s">
        <v>425</v>
      </c>
      <c r="P297" s="3" t="s">
        <v>425</v>
      </c>
      <c r="Q297" s="3" t="s">
        <v>425</v>
      </c>
    </row>
    <row r="298" spans="1:17" x14ac:dyDescent="0.2">
      <c r="A298" s="15">
        <f t="shared" si="4"/>
        <v>296</v>
      </c>
      <c r="B298" s="3" t="s">
        <v>63</v>
      </c>
      <c r="C298" s="3" t="str">
        <f>VLOOKUP(B298,Listas!A$3:C$30,3,0)</f>
        <v>Secretaria Municipal de Educação</v>
      </c>
      <c r="D298" s="3" t="str">
        <f>VLOOKUP(B298,Listas!A$3:C$30,2,0)</f>
        <v>18101</v>
      </c>
      <c r="E298" s="13" t="s">
        <v>416</v>
      </c>
      <c r="F298" s="3" t="s">
        <v>425</v>
      </c>
      <c r="G298" s="3" t="s">
        <v>425</v>
      </c>
      <c r="H298" s="5" t="s">
        <v>425</v>
      </c>
      <c r="I298" s="5"/>
      <c r="J298" s="3" t="s">
        <v>425</v>
      </c>
      <c r="K298" s="12" t="s">
        <v>425</v>
      </c>
      <c r="L298" s="3" t="s">
        <v>425</v>
      </c>
      <c r="M298" s="3" t="s">
        <v>425</v>
      </c>
      <c r="N298" s="3" t="s">
        <v>425</v>
      </c>
      <c r="O298" s="3" t="s">
        <v>425</v>
      </c>
      <c r="P298" s="3" t="s">
        <v>425</v>
      </c>
      <c r="Q298" s="3" t="s">
        <v>425</v>
      </c>
    </row>
    <row r="299" spans="1:17" x14ac:dyDescent="0.2">
      <c r="A299" s="15">
        <f t="shared" si="4"/>
        <v>297</v>
      </c>
      <c r="B299" s="3" t="s">
        <v>63</v>
      </c>
      <c r="C299" s="3" t="str">
        <f>VLOOKUP(B299,Listas!A$3:C$30,3,0)</f>
        <v>Secretaria Municipal de Educação</v>
      </c>
      <c r="D299" s="3" t="str">
        <f>VLOOKUP(B299,Listas!A$3:C$30,2,0)</f>
        <v>18101</v>
      </c>
      <c r="E299" s="13" t="s">
        <v>417</v>
      </c>
      <c r="F299" s="3" t="s">
        <v>425</v>
      </c>
      <c r="G299" s="3" t="s">
        <v>425</v>
      </c>
      <c r="H299" s="5" t="s">
        <v>425</v>
      </c>
      <c r="I299" s="5"/>
      <c r="J299" s="3" t="s">
        <v>425</v>
      </c>
      <c r="K299" s="12" t="s">
        <v>425</v>
      </c>
      <c r="L299" s="3" t="s">
        <v>425</v>
      </c>
      <c r="M299" s="3" t="s">
        <v>425</v>
      </c>
      <c r="N299" s="3" t="s">
        <v>425</v>
      </c>
      <c r="O299" s="3" t="s">
        <v>425</v>
      </c>
      <c r="P299" s="3" t="s">
        <v>425</v>
      </c>
      <c r="Q299" s="3" t="s">
        <v>425</v>
      </c>
    </row>
    <row r="300" spans="1:17" x14ac:dyDescent="0.2">
      <c r="A300" s="15">
        <f t="shared" si="4"/>
        <v>298</v>
      </c>
      <c r="B300" s="3" t="s">
        <v>63</v>
      </c>
      <c r="C300" s="3" t="str">
        <f>VLOOKUP(B300,Listas!A$3:C$30,3,0)</f>
        <v>Secretaria Municipal de Educação</v>
      </c>
      <c r="D300" s="3" t="str">
        <f>VLOOKUP(B300,Listas!A$3:C$30,2,0)</f>
        <v>18101</v>
      </c>
      <c r="E300" s="13" t="s">
        <v>418</v>
      </c>
      <c r="F300" s="3" t="s">
        <v>425</v>
      </c>
      <c r="G300" s="3" t="s">
        <v>425</v>
      </c>
      <c r="H300" s="5" t="s">
        <v>425</v>
      </c>
      <c r="I300" s="5"/>
      <c r="J300" s="3" t="s">
        <v>425</v>
      </c>
      <c r="K300" s="12" t="s">
        <v>425</v>
      </c>
      <c r="L300" s="3" t="s">
        <v>425</v>
      </c>
      <c r="M300" s="3" t="s">
        <v>425</v>
      </c>
      <c r="N300" s="3" t="s">
        <v>425</v>
      </c>
      <c r="O300" s="3" t="s">
        <v>425</v>
      </c>
      <c r="P300" s="3" t="s">
        <v>425</v>
      </c>
      <c r="Q300" s="3" t="s">
        <v>425</v>
      </c>
    </row>
    <row r="301" spans="1:17" x14ac:dyDescent="0.2">
      <c r="A301" s="15">
        <f t="shared" si="4"/>
        <v>299</v>
      </c>
      <c r="B301" s="3" t="s">
        <v>63</v>
      </c>
      <c r="C301" s="3" t="str">
        <f>VLOOKUP(B301,Listas!A$3:C$30,3,0)</f>
        <v>Secretaria Municipal de Educação</v>
      </c>
      <c r="D301" s="3" t="str">
        <f>VLOOKUP(B301,Listas!A$3:C$30,2,0)</f>
        <v>18101</v>
      </c>
      <c r="E301" s="13" t="s">
        <v>123</v>
      </c>
      <c r="F301" s="3" t="s">
        <v>425</v>
      </c>
      <c r="G301" s="3" t="s">
        <v>425</v>
      </c>
      <c r="H301" s="5" t="s">
        <v>425</v>
      </c>
      <c r="I301" s="5"/>
      <c r="J301" s="3" t="s">
        <v>425</v>
      </c>
      <c r="K301" s="12" t="s">
        <v>425</v>
      </c>
      <c r="L301" s="3" t="s">
        <v>425</v>
      </c>
      <c r="M301" s="3" t="s">
        <v>425</v>
      </c>
      <c r="N301" s="3" t="s">
        <v>425</v>
      </c>
      <c r="O301" s="3" t="s">
        <v>425</v>
      </c>
      <c r="P301" s="3" t="s">
        <v>425</v>
      </c>
      <c r="Q301" s="3" t="s">
        <v>425</v>
      </c>
    </row>
    <row r="302" spans="1:17" x14ac:dyDescent="0.2">
      <c r="A302" s="15">
        <f t="shared" si="4"/>
        <v>300</v>
      </c>
      <c r="B302" s="3" t="s">
        <v>63</v>
      </c>
      <c r="C302" s="3" t="str">
        <f>VLOOKUP(B302,Listas!A$3:C$30,3,0)</f>
        <v>Secretaria Municipal de Educação</v>
      </c>
      <c r="D302" s="3" t="str">
        <f>VLOOKUP(B302,Listas!A$3:C$30,2,0)</f>
        <v>18101</v>
      </c>
      <c r="E302" s="13" t="s">
        <v>419</v>
      </c>
      <c r="F302" s="3" t="s">
        <v>425</v>
      </c>
      <c r="G302" s="3" t="s">
        <v>425</v>
      </c>
      <c r="H302" s="5" t="s">
        <v>425</v>
      </c>
      <c r="I302" s="5"/>
      <c r="J302" s="3" t="s">
        <v>425</v>
      </c>
      <c r="K302" s="12" t="s">
        <v>425</v>
      </c>
      <c r="L302" s="3" t="s">
        <v>425</v>
      </c>
      <c r="M302" s="3" t="s">
        <v>425</v>
      </c>
      <c r="N302" s="3" t="s">
        <v>425</v>
      </c>
      <c r="O302" s="3" t="s">
        <v>425</v>
      </c>
      <c r="P302" s="3" t="s">
        <v>425</v>
      </c>
      <c r="Q302" s="3" t="s">
        <v>425</v>
      </c>
    </row>
    <row r="303" spans="1:17" x14ac:dyDescent="0.2">
      <c r="A303" s="15">
        <f t="shared" si="4"/>
        <v>301</v>
      </c>
      <c r="B303" s="3" t="s">
        <v>63</v>
      </c>
      <c r="C303" s="3" t="str">
        <f>VLOOKUP(B303,Listas!A$3:C$30,3,0)</f>
        <v>Secretaria Municipal de Educação</v>
      </c>
      <c r="D303" s="3" t="str">
        <f>VLOOKUP(B303,Listas!A$3:C$30,2,0)</f>
        <v>18101</v>
      </c>
      <c r="E303" s="13" t="s">
        <v>420</v>
      </c>
      <c r="F303" s="3" t="s">
        <v>425</v>
      </c>
      <c r="G303" s="3" t="s">
        <v>425</v>
      </c>
      <c r="H303" s="5" t="s">
        <v>425</v>
      </c>
      <c r="I303" s="5"/>
      <c r="J303" s="3" t="s">
        <v>425</v>
      </c>
      <c r="K303" s="12" t="s">
        <v>425</v>
      </c>
      <c r="L303" s="3" t="s">
        <v>425</v>
      </c>
      <c r="M303" s="3" t="s">
        <v>425</v>
      </c>
      <c r="N303" s="3" t="s">
        <v>425</v>
      </c>
      <c r="O303" s="3" t="s">
        <v>425</v>
      </c>
      <c r="P303" s="3" t="s">
        <v>425</v>
      </c>
      <c r="Q303" s="3" t="s">
        <v>425</v>
      </c>
    </row>
    <row r="304" spans="1:17" x14ac:dyDescent="0.2">
      <c r="A304" s="15">
        <f t="shared" si="4"/>
        <v>302</v>
      </c>
      <c r="B304" s="3" t="s">
        <v>63</v>
      </c>
      <c r="C304" s="3" t="str">
        <f>VLOOKUP(B304,Listas!A$3:C$30,3,0)</f>
        <v>Secretaria Municipal de Educação</v>
      </c>
      <c r="D304" s="3" t="str">
        <f>VLOOKUP(B304,Listas!A$3:C$30,2,0)</f>
        <v>18101</v>
      </c>
      <c r="E304" s="13" t="s">
        <v>421</v>
      </c>
      <c r="F304" s="3" t="s">
        <v>425</v>
      </c>
      <c r="G304" s="3" t="s">
        <v>425</v>
      </c>
      <c r="H304" s="5" t="s">
        <v>425</v>
      </c>
      <c r="I304" s="5"/>
      <c r="J304" s="3" t="s">
        <v>425</v>
      </c>
      <c r="K304" s="12" t="s">
        <v>425</v>
      </c>
      <c r="L304" s="3" t="s">
        <v>425</v>
      </c>
      <c r="M304" s="3" t="s">
        <v>425</v>
      </c>
      <c r="N304" s="3" t="s">
        <v>425</v>
      </c>
      <c r="O304" s="3" t="s">
        <v>425</v>
      </c>
      <c r="P304" s="3" t="s">
        <v>425</v>
      </c>
      <c r="Q304" s="3" t="s">
        <v>425</v>
      </c>
    </row>
    <row r="305" spans="1:17" x14ac:dyDescent="0.2">
      <c r="A305" s="15">
        <f t="shared" si="4"/>
        <v>303</v>
      </c>
      <c r="B305" s="3" t="s">
        <v>63</v>
      </c>
      <c r="C305" s="3" t="str">
        <f>VLOOKUP(B305,Listas!A$3:C$30,3,0)</f>
        <v>Secretaria Municipal de Educação</v>
      </c>
      <c r="D305" s="3" t="str">
        <f>VLOOKUP(B305,Listas!A$3:C$30,2,0)</f>
        <v>18101</v>
      </c>
      <c r="E305" s="13" t="s">
        <v>422</v>
      </c>
      <c r="F305" s="3" t="s">
        <v>425</v>
      </c>
      <c r="G305" s="3" t="s">
        <v>425</v>
      </c>
      <c r="H305" s="5" t="s">
        <v>425</v>
      </c>
      <c r="I305" s="5"/>
      <c r="J305" s="3" t="s">
        <v>425</v>
      </c>
      <c r="K305" s="12" t="s">
        <v>425</v>
      </c>
      <c r="L305" s="3" t="s">
        <v>425</v>
      </c>
      <c r="M305" s="3" t="s">
        <v>425</v>
      </c>
      <c r="N305" s="3" t="s">
        <v>425</v>
      </c>
      <c r="O305" s="3" t="s">
        <v>425</v>
      </c>
      <c r="P305" s="3" t="s">
        <v>425</v>
      </c>
      <c r="Q305" s="3" t="s">
        <v>425</v>
      </c>
    </row>
    <row r="306" spans="1:17" x14ac:dyDescent="0.2">
      <c r="A306" s="15">
        <f t="shared" si="4"/>
        <v>304</v>
      </c>
      <c r="B306" s="3" t="s">
        <v>63</v>
      </c>
      <c r="C306" s="3" t="str">
        <f>VLOOKUP(B306,Listas!A$3:C$30,3,0)</f>
        <v>Secretaria Municipal de Educação</v>
      </c>
      <c r="D306" s="3" t="str">
        <f>VLOOKUP(B306,Listas!A$3:C$30,2,0)</f>
        <v>18101</v>
      </c>
      <c r="E306" s="13" t="s">
        <v>423</v>
      </c>
      <c r="F306" s="3" t="s">
        <v>425</v>
      </c>
      <c r="G306" s="3" t="s">
        <v>425</v>
      </c>
      <c r="H306" s="5" t="s">
        <v>425</v>
      </c>
      <c r="I306" s="5"/>
      <c r="J306" s="3" t="s">
        <v>425</v>
      </c>
      <c r="K306" s="12" t="s">
        <v>425</v>
      </c>
      <c r="L306" s="3" t="s">
        <v>425</v>
      </c>
      <c r="M306" s="3" t="s">
        <v>425</v>
      </c>
      <c r="N306" s="3" t="s">
        <v>425</v>
      </c>
      <c r="O306" s="3" t="s">
        <v>425</v>
      </c>
      <c r="P306" s="3" t="s">
        <v>425</v>
      </c>
      <c r="Q306" s="3" t="s">
        <v>425</v>
      </c>
    </row>
  </sheetData>
  <mergeCells count="1">
    <mergeCell ref="A1:Q1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Listas!$F$3:$F$10</xm:f>
          </x14:formula1>
          <xm:sqref>G3:G306</xm:sqref>
        </x14:dataValidation>
        <x14:dataValidation type="list" allowBlank="1" showInputMessage="1" showErrorMessage="1">
          <x14:formula1>
            <xm:f>Listas!$D$3:$D$8</xm:f>
          </x14:formula1>
          <xm:sqref>F3:F306</xm:sqref>
        </x14:dataValidation>
        <x14:dataValidation type="list" allowBlank="1" showInputMessage="1" showErrorMessage="1">
          <x14:formula1>
            <xm:f>Listas!$A$3:$A$30</xm:f>
          </x14:formula1>
          <xm:sqref>B3:B306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74"/>
  <sheetViews>
    <sheetView workbookViewId="0">
      <selection activeCell="C18" sqref="C18"/>
    </sheetView>
  </sheetViews>
  <sheetFormatPr defaultRowHeight="15" x14ac:dyDescent="0.25"/>
  <cols>
    <col min="1" max="1" width="17.85546875" customWidth="1"/>
    <col min="2" max="2" width="15.7109375" customWidth="1"/>
    <col min="3" max="3" width="73.85546875" bestFit="1" customWidth="1"/>
    <col min="4" max="10" width="15.7109375" customWidth="1"/>
  </cols>
  <sheetData>
    <row r="2" spans="1:7" s="1" customFormat="1" ht="36.75" customHeight="1" x14ac:dyDescent="0.25">
      <c r="A2" s="8" t="s">
        <v>4</v>
      </c>
      <c r="B2" s="8" t="s">
        <v>75</v>
      </c>
      <c r="C2" s="8" t="s">
        <v>40</v>
      </c>
      <c r="D2" s="8" t="s">
        <v>16</v>
      </c>
      <c r="E2" s="8" t="s">
        <v>1</v>
      </c>
      <c r="F2" s="8" t="s">
        <v>14</v>
      </c>
      <c r="G2" s="8" t="s">
        <v>2</v>
      </c>
    </row>
    <row r="3" spans="1:7" x14ac:dyDescent="0.25">
      <c r="A3" s="6" t="s">
        <v>118</v>
      </c>
      <c r="B3" s="6" t="s">
        <v>120</v>
      </c>
      <c r="C3" s="6" t="s">
        <v>119</v>
      </c>
      <c r="D3" s="6" t="s">
        <v>18</v>
      </c>
      <c r="E3" s="6" t="s">
        <v>27</v>
      </c>
      <c r="F3" s="6" t="s">
        <v>31</v>
      </c>
      <c r="G3" s="6" t="s">
        <v>33</v>
      </c>
    </row>
    <row r="4" spans="1:7" x14ac:dyDescent="0.25">
      <c r="A4" s="6" t="s">
        <v>43</v>
      </c>
      <c r="B4" s="6" t="s">
        <v>44</v>
      </c>
      <c r="C4" s="6" t="s">
        <v>45</v>
      </c>
      <c r="D4" s="6" t="s">
        <v>17</v>
      </c>
      <c r="E4" s="6" t="s">
        <v>26</v>
      </c>
      <c r="F4" s="6" t="s">
        <v>32</v>
      </c>
      <c r="G4" s="6" t="s">
        <v>34</v>
      </c>
    </row>
    <row r="5" spans="1:7" x14ac:dyDescent="0.25">
      <c r="A5" s="6" t="s">
        <v>46</v>
      </c>
      <c r="B5" s="6" t="s">
        <v>47</v>
      </c>
      <c r="C5" s="6" t="s">
        <v>398</v>
      </c>
      <c r="D5" s="6" t="s">
        <v>19</v>
      </c>
      <c r="E5" s="6" t="s">
        <v>25</v>
      </c>
      <c r="F5" s="6" t="s">
        <v>29</v>
      </c>
      <c r="G5" s="6" t="s">
        <v>35</v>
      </c>
    </row>
    <row r="6" spans="1:7" x14ac:dyDescent="0.25">
      <c r="A6" s="6" t="s">
        <v>72</v>
      </c>
      <c r="B6" s="6" t="s">
        <v>73</v>
      </c>
      <c r="C6" s="6" t="s">
        <v>74</v>
      </c>
      <c r="D6" s="6" t="s">
        <v>425</v>
      </c>
      <c r="E6" s="6" t="s">
        <v>24</v>
      </c>
      <c r="F6" s="6" t="s">
        <v>28</v>
      </c>
      <c r="G6" s="6" t="s">
        <v>36</v>
      </c>
    </row>
    <row r="7" spans="1:7" x14ac:dyDescent="0.25">
      <c r="A7" s="6" t="s">
        <v>57</v>
      </c>
      <c r="B7" s="6" t="s">
        <v>58</v>
      </c>
      <c r="C7" s="6" t="s">
        <v>59</v>
      </c>
      <c r="D7" s="6"/>
      <c r="E7" s="6" t="s">
        <v>22</v>
      </c>
      <c r="F7" s="6" t="s">
        <v>30</v>
      </c>
      <c r="G7" s="6" t="s">
        <v>37</v>
      </c>
    </row>
    <row r="8" spans="1:7" x14ac:dyDescent="0.25">
      <c r="A8" s="6" t="s">
        <v>39</v>
      </c>
      <c r="B8" s="6" t="s">
        <v>41</v>
      </c>
      <c r="C8" s="6" t="s">
        <v>42</v>
      </c>
      <c r="D8" s="6"/>
      <c r="E8" s="6" t="s">
        <v>20</v>
      </c>
      <c r="F8" s="6" t="s">
        <v>425</v>
      </c>
      <c r="G8" s="6" t="s">
        <v>425</v>
      </c>
    </row>
    <row r="9" spans="1:7" x14ac:dyDescent="0.25">
      <c r="A9" s="6" t="s">
        <v>103</v>
      </c>
      <c r="B9" s="6" t="s">
        <v>104</v>
      </c>
      <c r="C9" s="6" t="s">
        <v>105</v>
      </c>
      <c r="D9" s="6"/>
      <c r="E9" s="6" t="s">
        <v>23</v>
      </c>
      <c r="F9" s="6"/>
      <c r="G9" s="6"/>
    </row>
    <row r="10" spans="1:7" x14ac:dyDescent="0.25">
      <c r="A10" s="6" t="s">
        <v>76</v>
      </c>
      <c r="B10" s="6" t="s">
        <v>77</v>
      </c>
      <c r="C10" s="6" t="s">
        <v>78</v>
      </c>
      <c r="D10" s="6"/>
      <c r="E10" s="6" t="s">
        <v>21</v>
      </c>
      <c r="F10" s="6"/>
      <c r="G10" s="6"/>
    </row>
    <row r="11" spans="1:7" x14ac:dyDescent="0.25">
      <c r="A11" s="6" t="s">
        <v>48</v>
      </c>
      <c r="B11" s="6" t="s">
        <v>49</v>
      </c>
      <c r="C11" s="6" t="s">
        <v>50</v>
      </c>
      <c r="D11" s="6"/>
      <c r="E11" s="6"/>
      <c r="F11" s="6"/>
      <c r="G11" s="6"/>
    </row>
    <row r="12" spans="1:7" x14ac:dyDescent="0.25">
      <c r="A12" s="6" t="s">
        <v>109</v>
      </c>
      <c r="B12" s="6" t="s">
        <v>110</v>
      </c>
      <c r="C12" s="6" t="s">
        <v>111</v>
      </c>
      <c r="D12" s="6"/>
      <c r="E12" s="6"/>
      <c r="F12" s="6"/>
      <c r="G12" s="6"/>
    </row>
    <row r="13" spans="1:7" x14ac:dyDescent="0.25">
      <c r="A13" s="6" t="s">
        <v>106</v>
      </c>
      <c r="B13" s="6" t="s">
        <v>107</v>
      </c>
      <c r="C13" s="6" t="s">
        <v>108</v>
      </c>
      <c r="D13" s="6"/>
      <c r="E13" s="6"/>
      <c r="F13" s="6"/>
      <c r="G13" s="6"/>
    </row>
    <row r="14" spans="1:7" x14ac:dyDescent="0.25">
      <c r="A14" s="6" t="s">
        <v>112</v>
      </c>
      <c r="B14" s="6" t="s">
        <v>113</v>
      </c>
      <c r="C14" s="6" t="s">
        <v>114</v>
      </c>
      <c r="D14" s="6"/>
      <c r="E14" s="6"/>
      <c r="F14" s="6"/>
      <c r="G14" s="6"/>
    </row>
    <row r="15" spans="1:7" x14ac:dyDescent="0.25">
      <c r="A15" s="6" t="s">
        <v>115</v>
      </c>
      <c r="B15" s="6" t="s">
        <v>116</v>
      </c>
      <c r="C15" s="6" t="s">
        <v>117</v>
      </c>
      <c r="D15" s="6"/>
      <c r="E15" s="6"/>
      <c r="F15" s="6"/>
      <c r="G15" s="6"/>
    </row>
    <row r="16" spans="1:7" x14ac:dyDescent="0.25">
      <c r="A16" s="6" t="s">
        <v>51</v>
      </c>
      <c r="B16" s="6" t="s">
        <v>52</v>
      </c>
      <c r="C16" s="6" t="s">
        <v>53</v>
      </c>
      <c r="D16" s="6"/>
      <c r="E16" s="6"/>
      <c r="F16" s="6"/>
      <c r="G16" s="6"/>
    </row>
    <row r="17" spans="1:7" x14ac:dyDescent="0.25">
      <c r="A17" s="6" t="s">
        <v>97</v>
      </c>
      <c r="B17" s="6" t="s">
        <v>98</v>
      </c>
      <c r="C17" s="6" t="s">
        <v>99</v>
      </c>
      <c r="D17" s="6"/>
      <c r="E17" s="6"/>
      <c r="F17" s="6"/>
      <c r="G17" s="6"/>
    </row>
    <row r="18" spans="1:7" x14ac:dyDescent="0.25">
      <c r="A18" s="6" t="s">
        <v>54</v>
      </c>
      <c r="B18" s="6" t="s">
        <v>55</v>
      </c>
      <c r="C18" s="6" t="s">
        <v>56</v>
      </c>
      <c r="D18" s="6"/>
      <c r="E18" s="6"/>
      <c r="F18" s="6"/>
      <c r="G18" s="6"/>
    </row>
    <row r="19" spans="1:7" x14ac:dyDescent="0.25">
      <c r="A19" s="6" t="s">
        <v>91</v>
      </c>
      <c r="B19" s="6" t="s">
        <v>93</v>
      </c>
      <c r="C19" s="6" t="s">
        <v>92</v>
      </c>
      <c r="D19" s="6"/>
      <c r="E19" s="6"/>
      <c r="F19" s="6"/>
      <c r="G19" s="6"/>
    </row>
    <row r="20" spans="1:7" x14ac:dyDescent="0.25">
      <c r="A20" s="6" t="s">
        <v>66</v>
      </c>
      <c r="B20" s="6" t="s">
        <v>67</v>
      </c>
      <c r="C20" s="6" t="s">
        <v>68</v>
      </c>
      <c r="D20" s="6"/>
      <c r="E20" s="6"/>
      <c r="F20" s="6"/>
      <c r="G20" s="6"/>
    </row>
    <row r="21" spans="1:7" x14ac:dyDescent="0.25">
      <c r="A21" s="6" t="s">
        <v>63</v>
      </c>
      <c r="B21" s="6" t="s">
        <v>64</v>
      </c>
      <c r="C21" s="6" t="s">
        <v>65</v>
      </c>
      <c r="D21" s="6"/>
      <c r="E21" s="6"/>
      <c r="F21" s="6"/>
      <c r="G21" s="6"/>
    </row>
    <row r="22" spans="1:7" x14ac:dyDescent="0.25">
      <c r="A22" s="6" t="s">
        <v>60</v>
      </c>
      <c r="B22" s="6" t="s">
        <v>61</v>
      </c>
      <c r="C22" s="6" t="s">
        <v>62</v>
      </c>
      <c r="D22" s="6"/>
      <c r="E22" s="6"/>
      <c r="F22" s="6"/>
      <c r="G22" s="6"/>
    </row>
    <row r="23" spans="1:7" x14ac:dyDescent="0.25">
      <c r="A23" s="6" t="s">
        <v>100</v>
      </c>
      <c r="B23" s="6" t="s">
        <v>101</v>
      </c>
      <c r="C23" s="6" t="s">
        <v>102</v>
      </c>
      <c r="D23" s="6"/>
      <c r="E23" s="6"/>
      <c r="F23" s="6"/>
      <c r="G23" s="6"/>
    </row>
    <row r="24" spans="1:7" x14ac:dyDescent="0.25">
      <c r="A24" s="6" t="s">
        <v>85</v>
      </c>
      <c r="B24" s="6" t="s">
        <v>86</v>
      </c>
      <c r="C24" s="6" t="s">
        <v>87</v>
      </c>
      <c r="D24" s="6"/>
      <c r="E24" s="6"/>
      <c r="F24" s="6"/>
      <c r="G24" s="6"/>
    </row>
    <row r="25" spans="1:7" x14ac:dyDescent="0.25">
      <c r="A25" s="6" t="s">
        <v>82</v>
      </c>
      <c r="B25" s="6" t="s">
        <v>83</v>
      </c>
      <c r="C25" s="6" t="s">
        <v>84</v>
      </c>
      <c r="D25" s="6"/>
      <c r="E25" s="6"/>
      <c r="F25" s="6"/>
      <c r="G25" s="6"/>
    </row>
    <row r="26" spans="1:7" x14ac:dyDescent="0.25">
      <c r="A26" s="6" t="s">
        <v>88</v>
      </c>
      <c r="B26" s="6" t="s">
        <v>89</v>
      </c>
      <c r="C26" s="6" t="s">
        <v>90</v>
      </c>
      <c r="D26" s="6"/>
      <c r="E26" s="6"/>
      <c r="F26" s="6"/>
      <c r="G26" s="6"/>
    </row>
    <row r="27" spans="1:7" x14ac:dyDescent="0.25">
      <c r="A27" s="6" t="s">
        <v>399</v>
      </c>
      <c r="B27" s="6" t="s">
        <v>400</v>
      </c>
      <c r="C27" s="6" t="s">
        <v>401</v>
      </c>
      <c r="D27" s="6"/>
      <c r="E27" s="6"/>
      <c r="F27" s="6"/>
      <c r="G27" s="6"/>
    </row>
    <row r="28" spans="1:7" x14ac:dyDescent="0.25">
      <c r="A28" s="6" t="s">
        <v>80</v>
      </c>
      <c r="B28" s="6" t="s">
        <v>81</v>
      </c>
      <c r="C28" s="6" t="s">
        <v>79</v>
      </c>
      <c r="D28" s="6"/>
      <c r="E28" s="6"/>
      <c r="F28" s="6"/>
      <c r="G28" s="6"/>
    </row>
    <row r="29" spans="1:7" x14ac:dyDescent="0.25">
      <c r="A29" s="6" t="s">
        <v>69</v>
      </c>
      <c r="B29" s="6" t="s">
        <v>70</v>
      </c>
      <c r="C29" s="6" t="s">
        <v>71</v>
      </c>
      <c r="D29" s="6"/>
      <c r="E29" s="6"/>
      <c r="F29" s="6"/>
      <c r="G29" s="6"/>
    </row>
    <row r="30" spans="1:7" x14ac:dyDescent="0.25">
      <c r="A30" s="6" t="s">
        <v>94</v>
      </c>
      <c r="B30" s="6" t="s">
        <v>95</v>
      </c>
      <c r="C30" s="6" t="s">
        <v>96</v>
      </c>
      <c r="D30" s="6"/>
      <c r="E30" s="6"/>
      <c r="F30" s="6"/>
      <c r="G30" s="6"/>
    </row>
    <row r="31" spans="1:7" x14ac:dyDescent="0.25">
      <c r="A31" s="6"/>
      <c r="B31" s="6"/>
      <c r="C31" s="6"/>
      <c r="D31" s="6"/>
      <c r="E31" s="6"/>
      <c r="F31" s="6"/>
      <c r="G31" s="6"/>
    </row>
    <row r="32" spans="1:7" x14ac:dyDescent="0.25">
      <c r="A32" s="6"/>
      <c r="B32" s="6"/>
      <c r="C32" s="6"/>
      <c r="D32" s="6"/>
      <c r="E32" s="6"/>
      <c r="F32" s="6"/>
      <c r="G32" s="6"/>
    </row>
    <row r="33" spans="1:7" x14ac:dyDescent="0.25">
      <c r="A33" s="6"/>
      <c r="B33" s="6"/>
      <c r="C33" s="6"/>
      <c r="D33" s="6"/>
      <c r="E33" s="6"/>
      <c r="F33" s="6"/>
      <c r="G33" s="6"/>
    </row>
    <row r="34" spans="1:7" x14ac:dyDescent="0.25">
      <c r="A34" s="6"/>
      <c r="B34" s="6"/>
      <c r="C34" s="6"/>
      <c r="D34" s="6"/>
      <c r="E34" s="6"/>
      <c r="F34" s="6"/>
      <c r="G34" s="6"/>
    </row>
    <row r="35" spans="1:7" x14ac:dyDescent="0.25">
      <c r="A35" s="6"/>
      <c r="B35" s="6"/>
      <c r="C35" s="6"/>
      <c r="D35" s="6"/>
      <c r="E35" s="6"/>
      <c r="F35" s="6"/>
      <c r="G35" s="6"/>
    </row>
    <row r="36" spans="1:7" x14ac:dyDescent="0.25">
      <c r="A36" s="6"/>
      <c r="B36" s="6"/>
      <c r="C36" s="6"/>
      <c r="D36" s="6"/>
      <c r="E36" s="6"/>
      <c r="F36" s="6"/>
      <c r="G36" s="6"/>
    </row>
    <row r="37" spans="1:7" x14ac:dyDescent="0.25">
      <c r="A37" s="6"/>
      <c r="B37" s="6"/>
      <c r="C37" s="6"/>
      <c r="D37" s="6"/>
      <c r="E37" s="6"/>
      <c r="F37" s="6"/>
      <c r="G37" s="6"/>
    </row>
    <row r="38" spans="1:7" x14ac:dyDescent="0.25">
      <c r="A38" s="6"/>
      <c r="B38" s="6"/>
      <c r="C38" s="6"/>
      <c r="D38" s="6"/>
      <c r="E38" s="6"/>
      <c r="F38" s="6"/>
      <c r="G38" s="6"/>
    </row>
    <row r="39" spans="1:7" x14ac:dyDescent="0.25">
      <c r="A39" s="6"/>
      <c r="B39" s="6"/>
      <c r="C39" s="6"/>
      <c r="D39" s="6"/>
      <c r="E39" s="6"/>
      <c r="F39" s="6"/>
      <c r="G39" s="6"/>
    </row>
    <row r="40" spans="1:7" x14ac:dyDescent="0.25">
      <c r="A40" s="6"/>
      <c r="B40" s="6"/>
      <c r="C40" s="6"/>
      <c r="D40" s="6"/>
      <c r="E40" s="6"/>
      <c r="F40" s="6"/>
      <c r="G40" s="6"/>
    </row>
    <row r="41" spans="1:7" x14ac:dyDescent="0.25">
      <c r="A41" s="6"/>
      <c r="B41" s="6"/>
      <c r="C41" s="6"/>
      <c r="D41" s="6"/>
      <c r="E41" s="6"/>
      <c r="F41" s="6"/>
      <c r="G41" s="6"/>
    </row>
    <row r="42" spans="1:7" x14ac:dyDescent="0.25">
      <c r="A42" s="6"/>
      <c r="B42" s="6"/>
      <c r="C42" s="6"/>
      <c r="D42" s="6"/>
      <c r="E42" s="6"/>
      <c r="F42" s="6"/>
      <c r="G42" s="6"/>
    </row>
    <row r="43" spans="1:7" x14ac:dyDescent="0.25">
      <c r="A43" s="6"/>
      <c r="B43" s="6"/>
      <c r="C43" s="6"/>
      <c r="D43" s="6"/>
      <c r="E43" s="6"/>
      <c r="F43" s="6"/>
      <c r="G43" s="6"/>
    </row>
    <row r="44" spans="1:7" x14ac:dyDescent="0.25">
      <c r="A44" s="6"/>
      <c r="B44" s="6"/>
      <c r="C44" s="6"/>
      <c r="D44" s="6"/>
      <c r="E44" s="6"/>
      <c r="F44" s="6"/>
      <c r="G44" s="6"/>
    </row>
    <row r="45" spans="1:7" x14ac:dyDescent="0.25">
      <c r="A45" s="6"/>
      <c r="B45" s="6"/>
      <c r="C45" s="6"/>
      <c r="D45" s="6"/>
      <c r="E45" s="6"/>
      <c r="F45" s="6"/>
      <c r="G45" s="6"/>
    </row>
    <row r="46" spans="1:7" x14ac:dyDescent="0.25">
      <c r="A46" s="6"/>
      <c r="B46" s="6"/>
      <c r="C46" s="6"/>
      <c r="D46" s="6"/>
      <c r="E46" s="6"/>
      <c r="F46" s="6"/>
      <c r="G46" s="6"/>
    </row>
    <row r="47" spans="1:7" x14ac:dyDescent="0.25">
      <c r="A47" s="6"/>
      <c r="B47" s="6"/>
      <c r="C47" s="6"/>
      <c r="D47" s="6"/>
      <c r="E47" s="6"/>
      <c r="F47" s="6"/>
      <c r="G47" s="6"/>
    </row>
    <row r="48" spans="1:7" x14ac:dyDescent="0.25">
      <c r="A48" s="6"/>
      <c r="B48" s="6"/>
      <c r="C48" s="6"/>
      <c r="D48" s="6"/>
      <c r="E48" s="6"/>
      <c r="F48" s="6"/>
      <c r="G48" s="6"/>
    </row>
    <row r="49" spans="1:7" x14ac:dyDescent="0.25">
      <c r="A49" s="6"/>
      <c r="B49" s="6"/>
      <c r="C49" s="6"/>
      <c r="D49" s="6"/>
      <c r="E49" s="6"/>
      <c r="F49" s="6"/>
      <c r="G49" s="6"/>
    </row>
    <row r="50" spans="1:7" x14ac:dyDescent="0.25">
      <c r="A50" s="6"/>
      <c r="B50" s="6"/>
      <c r="C50" s="6"/>
      <c r="D50" s="6"/>
      <c r="E50" s="6"/>
      <c r="F50" s="6"/>
      <c r="G50" s="6"/>
    </row>
    <row r="51" spans="1:7" x14ac:dyDescent="0.25">
      <c r="A51" s="6"/>
      <c r="B51" s="6"/>
      <c r="C51" s="6"/>
      <c r="D51" s="6"/>
      <c r="E51" s="6"/>
      <c r="F51" s="6"/>
      <c r="G51" s="6"/>
    </row>
    <row r="52" spans="1:7" x14ac:dyDescent="0.25">
      <c r="A52" s="6"/>
      <c r="B52" s="6"/>
      <c r="C52" s="6"/>
      <c r="D52" s="6"/>
      <c r="E52" s="6"/>
      <c r="F52" s="6"/>
      <c r="G52" s="6"/>
    </row>
    <row r="53" spans="1:7" x14ac:dyDescent="0.25">
      <c r="A53" s="6"/>
      <c r="B53" s="6"/>
      <c r="C53" s="6"/>
      <c r="D53" s="6"/>
      <c r="E53" s="6"/>
      <c r="F53" s="6"/>
      <c r="G53" s="6"/>
    </row>
    <row r="54" spans="1:7" x14ac:dyDescent="0.25">
      <c r="A54" s="6"/>
      <c r="B54" s="6"/>
      <c r="C54" s="6"/>
      <c r="D54" s="6"/>
      <c r="E54" s="6"/>
      <c r="F54" s="6"/>
      <c r="G54" s="6"/>
    </row>
    <row r="55" spans="1:7" x14ac:dyDescent="0.25">
      <c r="A55" s="6"/>
      <c r="B55" s="6"/>
      <c r="C55" s="6"/>
      <c r="D55" s="6"/>
      <c r="E55" s="6"/>
      <c r="F55" s="6"/>
      <c r="G55" s="6"/>
    </row>
    <row r="56" spans="1:7" x14ac:dyDescent="0.25">
      <c r="A56" s="6"/>
      <c r="B56" s="6"/>
      <c r="C56" s="6"/>
      <c r="D56" s="6"/>
      <c r="E56" s="6"/>
      <c r="F56" s="6"/>
      <c r="G56" s="6"/>
    </row>
    <row r="57" spans="1:7" x14ac:dyDescent="0.25">
      <c r="A57" s="6"/>
      <c r="B57" s="6"/>
      <c r="C57" s="6"/>
      <c r="D57" s="6"/>
      <c r="E57" s="6"/>
      <c r="F57" s="6"/>
      <c r="G57" s="6"/>
    </row>
    <row r="58" spans="1:7" x14ac:dyDescent="0.25">
      <c r="A58" s="6"/>
      <c r="B58" s="6"/>
      <c r="C58" s="6"/>
      <c r="D58" s="6"/>
      <c r="E58" s="6"/>
      <c r="F58" s="6"/>
      <c r="G58" s="6"/>
    </row>
    <row r="59" spans="1:7" x14ac:dyDescent="0.25">
      <c r="A59" s="6"/>
      <c r="B59" s="6"/>
      <c r="C59" s="6"/>
      <c r="D59" s="6"/>
      <c r="E59" s="6"/>
      <c r="F59" s="6"/>
      <c r="G59" s="6"/>
    </row>
    <row r="60" spans="1:7" x14ac:dyDescent="0.25">
      <c r="A60" s="6"/>
      <c r="B60" s="6"/>
      <c r="C60" s="6"/>
      <c r="D60" s="6"/>
      <c r="E60" s="6"/>
      <c r="F60" s="6"/>
      <c r="G60" s="6"/>
    </row>
    <row r="61" spans="1:7" x14ac:dyDescent="0.25">
      <c r="A61" s="6"/>
      <c r="B61" s="6"/>
      <c r="C61" s="6"/>
      <c r="D61" s="6"/>
      <c r="E61" s="6"/>
      <c r="F61" s="6"/>
      <c r="G61" s="6"/>
    </row>
    <row r="62" spans="1:7" x14ac:dyDescent="0.25">
      <c r="A62" s="6"/>
      <c r="B62" s="6"/>
      <c r="C62" s="6"/>
      <c r="D62" s="6"/>
      <c r="E62" s="6"/>
      <c r="F62" s="6"/>
      <c r="G62" s="6"/>
    </row>
    <row r="63" spans="1:7" x14ac:dyDescent="0.25">
      <c r="A63" s="6"/>
      <c r="B63" s="6"/>
      <c r="C63" s="6"/>
      <c r="D63" s="6"/>
      <c r="E63" s="6"/>
      <c r="F63" s="6"/>
      <c r="G63" s="6"/>
    </row>
    <row r="64" spans="1:7" x14ac:dyDescent="0.25">
      <c r="A64" s="6"/>
      <c r="B64" s="6"/>
      <c r="C64" s="6"/>
      <c r="D64" s="6"/>
      <c r="E64" s="6"/>
      <c r="F64" s="6"/>
      <c r="G64" s="6"/>
    </row>
    <row r="65" spans="1:7" x14ac:dyDescent="0.25">
      <c r="A65" s="6"/>
      <c r="B65" s="6"/>
      <c r="C65" s="6"/>
      <c r="D65" s="6"/>
      <c r="E65" s="6"/>
      <c r="F65" s="6"/>
      <c r="G65" s="6"/>
    </row>
    <row r="66" spans="1:7" x14ac:dyDescent="0.25">
      <c r="A66" s="6"/>
      <c r="B66" s="6"/>
      <c r="C66" s="6"/>
      <c r="D66" s="6"/>
      <c r="E66" s="6"/>
      <c r="F66" s="6"/>
      <c r="G66" s="6"/>
    </row>
    <row r="67" spans="1:7" x14ac:dyDescent="0.25">
      <c r="A67" s="6"/>
      <c r="B67" s="6"/>
      <c r="C67" s="6"/>
      <c r="D67" s="6"/>
      <c r="E67" s="6"/>
      <c r="F67" s="6"/>
      <c r="G67" s="6"/>
    </row>
    <row r="68" spans="1:7" x14ac:dyDescent="0.25">
      <c r="A68" s="6"/>
      <c r="B68" s="6"/>
      <c r="C68" s="6"/>
      <c r="D68" s="6"/>
      <c r="E68" s="6"/>
      <c r="F68" s="6"/>
      <c r="G68" s="6"/>
    </row>
    <row r="69" spans="1:7" x14ac:dyDescent="0.25">
      <c r="A69" s="6"/>
      <c r="B69" s="6"/>
      <c r="C69" s="6"/>
      <c r="D69" s="6"/>
      <c r="E69" s="6"/>
      <c r="F69" s="6"/>
      <c r="G69" s="6"/>
    </row>
    <row r="70" spans="1:7" x14ac:dyDescent="0.25">
      <c r="A70" s="6"/>
      <c r="B70" s="6"/>
      <c r="C70" s="6"/>
      <c r="D70" s="6"/>
      <c r="E70" s="6"/>
      <c r="F70" s="6"/>
      <c r="G70" s="6"/>
    </row>
    <row r="71" spans="1:7" x14ac:dyDescent="0.25">
      <c r="A71" s="6"/>
      <c r="B71" s="6"/>
      <c r="C71" s="6"/>
      <c r="D71" s="6"/>
      <c r="E71" s="6"/>
      <c r="F71" s="6"/>
      <c r="G71" s="6"/>
    </row>
    <row r="72" spans="1:7" x14ac:dyDescent="0.25">
      <c r="A72" s="7"/>
      <c r="B72" s="7"/>
      <c r="C72" s="7"/>
      <c r="D72" s="7"/>
      <c r="E72" s="7"/>
      <c r="F72" s="7"/>
      <c r="G72" s="7"/>
    </row>
    <row r="73" spans="1:7" x14ac:dyDescent="0.25">
      <c r="A73" s="7"/>
      <c r="B73" s="7"/>
      <c r="C73" s="7"/>
      <c r="D73" s="7"/>
      <c r="E73" s="7"/>
      <c r="F73" s="7"/>
      <c r="G73" s="7"/>
    </row>
    <row r="74" spans="1:7" x14ac:dyDescent="0.25">
      <c r="A74" s="7"/>
      <c r="B74" s="7"/>
      <c r="C74" s="7"/>
      <c r="D74" s="7"/>
      <c r="E74" s="7"/>
      <c r="F74" s="7"/>
      <c r="G74" s="7"/>
    </row>
  </sheetData>
  <sortState ref="A3:C29">
    <sortCondition ref="A3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Bens Imóveis</vt:lpstr>
      <vt:lpstr>Listas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Da Silva Salvatierre</dc:creator>
  <cp:lastModifiedBy>Charles Da Silva Salvatierre</cp:lastModifiedBy>
  <dcterms:created xsi:type="dcterms:W3CDTF">2026-01-27T14:50:04Z</dcterms:created>
  <dcterms:modified xsi:type="dcterms:W3CDTF">2026-03-24T16:28:14Z</dcterms:modified>
</cp:coreProperties>
</file>