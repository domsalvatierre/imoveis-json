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ns Imóveis" sheetId="1" state="visible" r:id="rId2"/>
    <sheet name="Lista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<sst xmlns="http://schemas.openxmlformats.org/spreadsheetml/2006/main" count="190" uniqueCount="158">
  <si>
    <t xml:space="preserve">SisTCE</t>
  </si>
  <si>
    <t xml:space="preserve">nrTombamento</t>
  </si>
  <si>
    <t xml:space="preserve">nrAfetacao</t>
  </si>
  <si>
    <t xml:space="preserve">diarioAfetacao</t>
  </si>
  <si>
    <t xml:space="preserve">tpEdificacao</t>
  </si>
  <si>
    <t xml:space="preserve">endereco</t>
  </si>
  <si>
    <t xml:space="preserve">leiAfetacao</t>
  </si>
  <si>
    <t xml:space="preserve">situacaoUso</t>
  </si>
  <si>
    <t xml:space="preserve">codUnidadeOrcamentaria</t>
  </si>
  <si>
    <t xml:space="preserve">areaTerreno</t>
  </si>
  <si>
    <t xml:space="preserve">areaConstruida</t>
  </si>
  <si>
    <t xml:space="preserve">vlIncorporacao</t>
  </si>
  <si>
    <t xml:space="preserve">dtEntrada</t>
  </si>
  <si>
    <t xml:space="preserve">dtUltimoInventario</t>
  </si>
  <si>
    <t xml:space="preserve">SIGLA UG</t>
  </si>
  <si>
    <t xml:space="preserve">UG - UNIDADE GESTORA</t>
  </si>
  <si>
    <t xml:space="preserve">FINALIDADE*</t>
  </si>
  <si>
    <t xml:space="preserve">ZONA*</t>
  </si>
  <si>
    <t xml:space="preserve">SITUAÇÃO*</t>
  </si>
  <si>
    <t xml:space="preserve">CARTÓRIO*</t>
  </si>
  <si>
    <t xml:space="preserve">MATRÍCULA*</t>
  </si>
  <si>
    <t xml:space="preserve">TERRENO 
VALOR (R$)*</t>
  </si>
  <si>
    <t xml:space="preserve">VALOR TOTAL (R$)*</t>
  </si>
  <si>
    <t xml:space="preserve">DATA DA REAVALIAÇÃO*</t>
  </si>
  <si>
    <t xml:space="preserve">DATA AFETAÇÃO*</t>
  </si>
  <si>
    <t xml:space="preserve">EDIFICAÇÃO 
VALOR (R$) </t>
  </si>
  <si>
    <t xml:space="preserve">Nº TOMBAMENTO</t>
  </si>
  <si>
    <t xml:space="preserve">Nº AFETAÇÃO</t>
  </si>
  <si>
    <t xml:space="preserve">DOM AFETAÇÃO</t>
  </si>
  <si>
    <t xml:space="preserve">TIPO DE EDIFICAÇÃO</t>
  </si>
  <si>
    <t xml:space="preserve">ENDEREÇO</t>
  </si>
  <si>
    <t xml:space="preserve">LEI DE AFETAÇÃO</t>
  </si>
  <si>
    <t xml:space="preserve">SITUAÇÃO DE USO</t>
  </si>
  <si>
    <t xml:space="preserve">UNIDADE ORÇAMENTÁRIA</t>
  </si>
  <si>
    <t xml:space="preserve">ÁREA DO TERRENO (m²)</t>
  </si>
  <si>
    <t xml:space="preserve">ÁREA CONSTRUIDA (m²)</t>
  </si>
  <si>
    <t xml:space="preserve">VALOR INICIAL DO BEM (R$)</t>
  </si>
  <si>
    <t xml:space="preserve">DATA DE ENTRADA / INCORPORAÇÃO</t>
  </si>
  <si>
    <t xml:space="preserve">DATA DO ÚLTIMO INVENTÁRIO</t>
  </si>
  <si>
    <t xml:space="preserve">FDT</t>
  </si>
  <si>
    <t xml:space="preserve">Sede FDT - Fundação Municipal de Apoio ao Idoso "Doutor Thomas"  </t>
  </si>
  <si>
    <t xml:space="preserve">CENTRO-SUL</t>
  </si>
  <si>
    <t xml:space="preserve">ATIVO</t>
  </si>
  <si>
    <t xml:space="preserve">2º OFÍCIO</t>
  </si>
  <si>
    <t xml:space="preserve">Em ajuste</t>
  </si>
  <si>
    <t xml:space="preserve">R. Dr. Thomas, 798 - Nossa Senhora das Graças - CEP 69.053-035</t>
  </si>
  <si>
    <t xml:space="preserve">Parque Municipal do Idoso      </t>
  </si>
  <si>
    <t xml:space="preserve">R. Rio Mar, 1.324 - Nossa Senhora das Graças - CEP 69.093-452</t>
  </si>
  <si>
    <t xml:space="preserve">UG</t>
  </si>
  <si>
    <t xml:space="preserve">SECRETARIA</t>
  </si>
  <si>
    <t xml:space="preserve">TIPO EDIFICAÇÃO</t>
  </si>
  <si>
    <t xml:space="preserve">ZONA</t>
  </si>
  <si>
    <t xml:space="preserve">SITUAÇÃO USO</t>
  </si>
  <si>
    <t xml:space="preserve">CARTÓRIO</t>
  </si>
  <si>
    <t xml:space="preserve">AGEMAN</t>
  </si>
  <si>
    <t xml:space="preserve">70201</t>
  </si>
  <si>
    <t xml:space="preserve">Agência Reguladora dos Serviços Públicos Delegados do Município de Manaus</t>
  </si>
  <si>
    <t xml:space="preserve">Casa</t>
  </si>
  <si>
    <t xml:space="preserve">Área Ribeirinha</t>
  </si>
  <si>
    <t xml:space="preserve">Cedido</t>
  </si>
  <si>
    <t xml:space="preserve">1º Ofício</t>
  </si>
  <si>
    <t xml:space="preserve">CC</t>
  </si>
  <si>
    <t xml:space="preserve">11101</t>
  </si>
  <si>
    <t xml:space="preserve">Casa Civil</t>
  </si>
  <si>
    <t xml:space="preserve">Prédio</t>
  </si>
  <si>
    <t xml:space="preserve">Área Rural</t>
  </si>
  <si>
    <t xml:space="preserve">Compartilhado</t>
  </si>
  <si>
    <t xml:space="preserve">2º Ofício</t>
  </si>
  <si>
    <t xml:space="preserve">CC-ERB</t>
  </si>
  <si>
    <t xml:space="preserve">11103</t>
  </si>
  <si>
    <t xml:space="preserve">Escritório de Representação em Brasília</t>
  </si>
  <si>
    <t xml:space="preserve">Terreno</t>
  </si>
  <si>
    <t xml:space="preserve">Centro-Oeste</t>
  </si>
  <si>
    <t xml:space="preserve">Ocioso</t>
  </si>
  <si>
    <t xml:space="preserve">3º Ofício</t>
  </si>
  <si>
    <t xml:space="preserve">CGM</t>
  </si>
  <si>
    <t xml:space="preserve">22101</t>
  </si>
  <si>
    <t xml:space="preserve">Controladoria Geral do Municipio</t>
  </si>
  <si>
    <t xml:space="preserve">Centro-Sul</t>
  </si>
  <si>
    <t xml:space="preserve">Ocupado</t>
  </si>
  <si>
    <t xml:space="preserve">4º Ofício</t>
  </si>
  <si>
    <t xml:space="preserve">CM</t>
  </si>
  <si>
    <t xml:space="preserve">15101</t>
  </si>
  <si>
    <t xml:space="preserve">Casa Militar</t>
  </si>
  <si>
    <t xml:space="preserve">Leste</t>
  </si>
  <si>
    <t xml:space="preserve">Subutilizado</t>
  </si>
  <si>
    <t xml:space="preserve">5º Ofício</t>
  </si>
  <si>
    <t xml:space="preserve">CMM</t>
  </si>
  <si>
    <t xml:space="preserve">01101</t>
  </si>
  <si>
    <t xml:space="preserve">Câmara Municipal de Manaus</t>
  </si>
  <si>
    <t xml:space="preserve">Norte</t>
  </si>
  <si>
    <t xml:space="preserve">52301</t>
  </si>
  <si>
    <t xml:space="preserve">Fundação Doutor Thomas</t>
  </si>
  <si>
    <t xml:space="preserve">Oeste</t>
  </si>
  <si>
    <t xml:space="preserve">FMS</t>
  </si>
  <si>
    <t xml:space="preserve">23701</t>
  </si>
  <si>
    <t xml:space="preserve">Fundo Municipal de Saúde</t>
  </si>
  <si>
    <t xml:space="preserve">Sul</t>
  </si>
  <si>
    <t xml:space="preserve">GVP</t>
  </si>
  <si>
    <t xml:space="preserve">12101</t>
  </si>
  <si>
    <t xml:space="preserve">Gabinete do Vice-Prefeito</t>
  </si>
  <si>
    <t xml:space="preserve">IMMU</t>
  </si>
  <si>
    <t xml:space="preserve">58201</t>
  </si>
  <si>
    <t xml:space="preserve">Instituto Municipal de Mobilidade Urbana</t>
  </si>
  <si>
    <t xml:space="preserve">IMPLURB</t>
  </si>
  <si>
    <t xml:space="preserve">56201</t>
  </si>
  <si>
    <t xml:space="preserve">Instituto Municipal de Planejamento Urbano</t>
  </si>
  <si>
    <t xml:space="preserve">MANAUSCULT</t>
  </si>
  <si>
    <t xml:space="preserve">62301</t>
  </si>
  <si>
    <t xml:space="preserve">Fundação Municipal de Cultura, Turismo e Eventos</t>
  </si>
  <si>
    <t xml:space="preserve">MANAUSPREV</t>
  </si>
  <si>
    <t xml:space="preserve">63201</t>
  </si>
  <si>
    <t xml:space="preserve">Manaus Previdência</t>
  </si>
  <si>
    <t xml:space="preserve">PGM</t>
  </si>
  <si>
    <t xml:space="preserve">13101</t>
  </si>
  <si>
    <t xml:space="preserve">Procuradoria Geral do Municipio</t>
  </si>
  <si>
    <t xml:space="preserve">SEMACC</t>
  </si>
  <si>
    <t xml:space="preserve">41101</t>
  </si>
  <si>
    <t xml:space="preserve">Secretaria Municipal de Agricultura, Abastecimento, Centro e Comércio Informal</t>
  </si>
  <si>
    <t xml:space="preserve">SEMAD</t>
  </si>
  <si>
    <t xml:space="preserve">14101</t>
  </si>
  <si>
    <t xml:space="preserve">Secretaria Municipal de Administração e Gestão</t>
  </si>
  <si>
    <t xml:space="preserve">SEMASC</t>
  </si>
  <si>
    <t xml:space="preserve">37101</t>
  </si>
  <si>
    <t xml:space="preserve">Secretaria Municipal da Mulher, Assistência Social e Cidadania</t>
  </si>
  <si>
    <t xml:space="preserve">SEMCOM</t>
  </si>
  <si>
    <t xml:space="preserve">19101</t>
  </si>
  <si>
    <t xml:space="preserve">Secretaria Municipal de Comunicação</t>
  </si>
  <si>
    <t xml:space="preserve">SEMED</t>
  </si>
  <si>
    <t xml:space="preserve">18101</t>
  </si>
  <si>
    <t xml:space="preserve">Secretaria Municipal de Educação</t>
  </si>
  <si>
    <t xml:space="preserve">SEMEF</t>
  </si>
  <si>
    <t xml:space="preserve">16101</t>
  </si>
  <si>
    <t xml:space="preserve"> Secretaria Municipal de Finanças, Planejamento e Tecnologia da Informação</t>
  </si>
  <si>
    <t xml:space="preserve">SEMHAF</t>
  </si>
  <si>
    <t xml:space="preserve">44101</t>
  </si>
  <si>
    <t xml:space="preserve">Secretaria Municipal de Habitação e Assuntos Fundiários</t>
  </si>
  <si>
    <t xml:space="preserve">SEMINF</t>
  </si>
  <si>
    <t xml:space="preserve">27101</t>
  </si>
  <si>
    <t xml:space="preserve">Secretaria Municipal de Infraestrutura</t>
  </si>
  <si>
    <t xml:space="preserve">SEMJEL</t>
  </si>
  <si>
    <t xml:space="preserve">26101</t>
  </si>
  <si>
    <t xml:space="preserve">Secretaria Municipal de Juventude, Esporte e Lazer</t>
  </si>
  <si>
    <t xml:space="preserve">SEMMAS</t>
  </si>
  <si>
    <t xml:space="preserve">28101</t>
  </si>
  <si>
    <t xml:space="preserve">Secretaria de Meio Ambiente e Sustentabilidade</t>
  </si>
  <si>
    <t xml:space="preserve">SEMSA</t>
  </si>
  <si>
    <t xml:space="preserve">23000</t>
  </si>
  <si>
    <t xml:space="preserve">Secretaria Municipal de Saúde</t>
  </si>
  <si>
    <t xml:space="preserve">SEMSEG</t>
  </si>
  <si>
    <t xml:space="preserve">25101</t>
  </si>
  <si>
    <t xml:space="preserve">Secretaria Municipal de Segurança Pública e Defesa Social</t>
  </si>
  <si>
    <t xml:space="preserve">SEMTEPI</t>
  </si>
  <si>
    <t xml:space="preserve">21101</t>
  </si>
  <si>
    <t xml:space="preserve">Secretaria Municipal do Trabalho, Empreendedorismo e Inovação</t>
  </si>
  <si>
    <t xml:space="preserve">SEMULSP</t>
  </si>
  <si>
    <t xml:space="preserve">38101</t>
  </si>
  <si>
    <t xml:space="preserve">Secretaria Municipal de Limpeza Urbana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</si>
</sst>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&quot;R$ &quot;#,##0.00"/>
    <numFmt numFmtId="168" formatCode="d/m/yyyy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8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BFBFBF"/>
        <bgColor rgb="FFCCCC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FBFBF"/>
        </patternFill>
      </fill>
    </dxf>
    <dxf>
      <fill>
        <patternFill patternType="solid">
          <fgColor rgb="FF3D3D3D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"/>
  <sheetViews>
    <sheetView showFormulas="false" showGridLines="true" showRowColHeaders="true" showZeros="true" rightToLeft="false" tabSelected="true" showOutlineSymbols="true" defaultGridColor="true" view="normal" topLeftCell="P1" colorId="64" zoomScale="100" zoomScaleNormal="100" zoomScalePageLayoutView="100" workbookViewId="0">
      <pane xSplit="0" ySplit="3" topLeftCell="A4" activePane="bottomLeft" state="frozen"/>
      <selection pane="topLeft" activeCell="P1" activeCellId="0" sqref="P1"/>
      <selection pane="bottomLeft" activeCell="Q5" activeCellId="0" sqref="Q5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11.86"/>
    <col collapsed="false" customWidth="true" hidden="false" outlineLevel="0" max="2" min="2" style="1" width="71.14"/>
    <col collapsed="false" customWidth="true" hidden="false" outlineLevel="0" max="3" min="3" style="1" width="102.42"/>
    <col collapsed="false" customWidth="true" hidden="false" outlineLevel="0" max="4" min="4" style="1" width="14.28"/>
    <col collapsed="false" customWidth="true" hidden="false" outlineLevel="0" max="5" min="5" style="1" width="20.14"/>
    <col collapsed="false" customWidth="true" hidden="false" outlineLevel="0" max="6" min="6" style="1" width="9.71"/>
    <col collapsed="false" customWidth="true" hidden="false" outlineLevel="0" max="7" min="7" style="1" width="26.14"/>
    <col collapsed="false" customWidth="true" hidden="false" outlineLevel="0" max="8" min="8" style="1" width="20.99"/>
    <col collapsed="false" customWidth="true" hidden="false" outlineLevel="0" max="9" min="9" style="1" width="14.86"/>
    <col collapsed="false" customWidth="true" hidden="false" outlineLevel="0" max="11" min="10" style="1" width="15.71"/>
    <col collapsed="false" customWidth="true" hidden="false" outlineLevel="0" max="12" min="12" style="1" width="20.99"/>
    <col collapsed="false" customWidth="true" hidden="false" outlineLevel="0" max="13" min="13" style="1" width="15.71"/>
    <col collapsed="false" customWidth="true" hidden="false" outlineLevel="0" max="14" min="14" style="1" width="11.86"/>
    <col collapsed="false" customWidth="true" hidden="false" outlineLevel="0" max="15" min="15" style="1" width="15.71"/>
    <col collapsed="false" customWidth="true" hidden="false" outlineLevel="0" max="16" min="16" style="1" width="13.43"/>
    <col collapsed="false" customWidth="true" hidden="false" outlineLevel="0" max="17" min="17" style="1" width="98.57"/>
    <col collapsed="false" customWidth="true" hidden="false" outlineLevel="0" max="18" min="18" style="1" width="20.29"/>
    <col collapsed="false" customWidth="true" hidden="false" outlineLevel="0" max="19" min="19" style="1" width="15.71"/>
    <col collapsed="false" customWidth="true" hidden="false" outlineLevel="0" max="20" min="20" style="1" width="22.01"/>
    <col collapsed="false" customWidth="true" hidden="false" outlineLevel="0" max="25" min="21" style="1" width="15.71"/>
    <col collapsed="false" customWidth="false" hidden="false" outlineLevel="0" max="1024" min="26" style="1" width="9.14"/>
  </cols>
  <sheetData>
    <row r="1" s="3" customFormat="true" ht="15.7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="8" customFormat="true" ht="15.75" hidden="false" customHeight="true" outlineLevel="0" collapsed="false">
      <c r="A2" s="4" t="s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5" t="s">
        <v>0</v>
      </c>
      <c r="M2" s="7" t="s">
        <v>1</v>
      </c>
      <c r="N2" s="4" t="s">
        <v>2</v>
      </c>
      <c r="O2" s="4" t="s">
        <v>3</v>
      </c>
      <c r="P2" s="4" t="s">
        <v>4</v>
      </c>
      <c r="Q2" s="4" t="s">
        <v>5</v>
      </c>
      <c r="R2" s="4" t="s">
        <v>6</v>
      </c>
      <c r="S2" s="4" t="s">
        <v>7</v>
      </c>
      <c r="T2" s="4" t="s">
        <v>8</v>
      </c>
      <c r="U2" s="4" t="s">
        <v>9</v>
      </c>
      <c r="V2" s="4" t="s">
        <v>10</v>
      </c>
      <c r="W2" s="4" t="s">
        <v>11</v>
      </c>
      <c r="X2" s="4" t="s">
        <v>12</v>
      </c>
      <c r="Y2" s="4" t="s">
        <v>13</v>
      </c>
    </row>
    <row r="3" s="12" customFormat="true" ht="25.5" hidden="false" customHeight="true" outlineLevel="0" collapsed="false">
      <c r="A3" s="9" t="s">
        <v>14</v>
      </c>
      <c r="B3" s="10" t="s">
        <v>15</v>
      </c>
      <c r="C3" s="10" t="s">
        <v>16</v>
      </c>
      <c r="D3" s="10" t="s">
        <v>17</v>
      </c>
      <c r="E3" s="10" t="s">
        <v>18</v>
      </c>
      <c r="F3" s="10" t="s">
        <v>19</v>
      </c>
      <c r="G3" s="10" t="s">
        <v>20</v>
      </c>
      <c r="H3" s="10" t="s">
        <v>21</v>
      </c>
      <c r="I3" s="10" t="s">
        <v>22</v>
      </c>
      <c r="J3" s="10" t="s">
        <v>23</v>
      </c>
      <c r="K3" s="10" t="s">
        <v>24</v>
      </c>
      <c r="L3" s="10" t="s">
        <v>25</v>
      </c>
      <c r="M3" s="10" t="s">
        <v>26</v>
      </c>
      <c r="N3" s="10" t="s">
        <v>27</v>
      </c>
      <c r="O3" s="10" t="s">
        <v>28</v>
      </c>
      <c r="P3" s="10" t="s">
        <v>29</v>
      </c>
      <c r="Q3" s="10" t="s">
        <v>30</v>
      </c>
      <c r="R3" s="10" t="s">
        <v>31</v>
      </c>
      <c r="S3" s="10" t="s">
        <v>32</v>
      </c>
      <c r="T3" s="10" t="s">
        <v>33</v>
      </c>
      <c r="U3" s="10" t="s">
        <v>34</v>
      </c>
      <c r="V3" s="10" t="s">
        <v>35</v>
      </c>
      <c r="W3" s="10" t="s">
        <v>36</v>
      </c>
      <c r="X3" s="10" t="s">
        <v>37</v>
      </c>
      <c r="Y3" s="11" t="s">
        <v>38</v>
      </c>
    </row>
    <row r="4" customFormat="false" ht="12.75" hidden="false" customHeight="false" outlineLevel="0" collapsed="false">
      <c r="A4" s="13" t="s">
        <v>39</v>
      </c>
      <c r="B4" s="14" t="str">
        <f aca="false">VLOOKUP(A4,Listas!A$3:C$30,3,0)</f>
        <v>Fundação Doutor Thomas</v>
      </c>
      <c r="C4" s="15" t="s">
        <v>40</v>
      </c>
      <c r="D4" s="13" t="s">
        <v>41</v>
      </c>
      <c r="E4" s="14" t="s">
        <v>42</v>
      </c>
      <c r="F4" s="14" t="s">
        <v>43</v>
      </c>
      <c r="G4" s="14" t="n">
        <v>10729</v>
      </c>
      <c r="H4" s="16"/>
      <c r="I4" s="16"/>
      <c r="J4" s="17"/>
      <c r="K4" s="14" t="s">
        <v>44</v>
      </c>
      <c r="L4" s="18" t="n">
        <v>0</v>
      </c>
      <c r="M4" s="19" t="n">
        <v>1081</v>
      </c>
      <c r="N4" s="20" t="s">
        <v>44</v>
      </c>
      <c r="O4" s="14" t="s">
        <v>44</v>
      </c>
      <c r="P4" s="13" t="s">
        <v>44</v>
      </c>
      <c r="Q4" s="15" t="s">
        <v>45</v>
      </c>
      <c r="R4" s="14" t="s">
        <v>44</v>
      </c>
      <c r="S4" s="13" t="s">
        <v>44</v>
      </c>
      <c r="T4" s="19" t="str">
        <f aca="false">VLOOKUP(A4,Listas!A$3:C$30,2,0)</f>
        <v>52301</v>
      </c>
      <c r="U4" s="14" t="s">
        <v>44</v>
      </c>
      <c r="V4" s="14" t="s">
        <v>44</v>
      </c>
      <c r="W4" s="18" t="s">
        <v>44</v>
      </c>
      <c r="X4" s="14" t="s">
        <v>44</v>
      </c>
      <c r="Y4" s="14" t="s">
        <v>44</v>
      </c>
    </row>
    <row r="5" customFormat="false" ht="12.75" hidden="false" customHeight="false" outlineLevel="0" collapsed="false">
      <c r="A5" s="13" t="s">
        <v>39</v>
      </c>
      <c r="B5" s="14" t="str">
        <f aca="false">VLOOKUP(A5,Listas!A$3:C$30,3,0)</f>
        <v>Fundação Doutor Thomas</v>
      </c>
      <c r="C5" s="15" t="s">
        <v>46</v>
      </c>
      <c r="D5" s="13" t="s">
        <v>41</v>
      </c>
      <c r="E5" s="14" t="s">
        <v>42</v>
      </c>
      <c r="F5" s="14" t="s">
        <v>43</v>
      </c>
      <c r="G5" s="14" t="n">
        <v>10730</v>
      </c>
      <c r="H5" s="16"/>
      <c r="I5" s="16"/>
      <c r="J5" s="17"/>
      <c r="K5" s="14" t="s">
        <v>44</v>
      </c>
      <c r="L5" s="18"/>
      <c r="M5" s="19" t="n">
        <f aca="false">M4+1</f>
        <v>1082</v>
      </c>
      <c r="N5" s="20" t="s">
        <v>44</v>
      </c>
      <c r="O5" s="14" t="s">
        <v>44</v>
      </c>
      <c r="P5" s="13" t="s">
        <v>44</v>
      </c>
      <c r="Q5" s="15" t="s">
        <v>47</v>
      </c>
      <c r="R5" s="14" t="s">
        <v>44</v>
      </c>
      <c r="S5" s="13" t="s">
        <v>44</v>
      </c>
      <c r="T5" s="19" t="str">
        <f aca="false">VLOOKUP(A5,Listas!A$3:C$30,2,0)</f>
        <v>52301</v>
      </c>
      <c r="U5" s="14" t="s">
        <v>44</v>
      </c>
      <c r="V5" s="14" t="s">
        <v>44</v>
      </c>
      <c r="W5" s="18" t="s">
        <v>44</v>
      </c>
      <c r="X5" s="14" t="s">
        <v>44</v>
      </c>
      <c r="Y5" s="14" t="s">
        <v>44</v>
      </c>
    </row>
  </sheetData>
  <dataValidations count="4">
    <dataValidation allowBlank="true" errorStyle="stop" operator="between" showDropDown="false" showErrorMessage="true" showInputMessage="true" sqref="S4:S5" type="list">
      <formula1>Listas!$F$3:$F$10</formula1>
      <formula2>0</formula2>
    </dataValidation>
    <dataValidation allowBlank="true" errorStyle="stop" operator="between" showDropDown="false" showErrorMessage="true" showInputMessage="true" sqref="P4:P5" type="list">
      <formula1>Listas!$D$3:$D$8</formula1>
      <formula2>0</formula2>
    </dataValidation>
    <dataValidation allowBlank="true" errorStyle="stop" operator="between" showDropDown="false" showErrorMessage="true" showInputMessage="true" sqref="D4:D5" type="list">
      <formula1>Listas!$E$3:$E$10</formula1>
      <formula2>0</formula2>
    </dataValidation>
    <dataValidation allowBlank="true" errorStyle="stop" operator="between" showDropDown="false" showErrorMessage="true" showInputMessage="true" sqref="A4:A5" type="list">
      <formula1>Listas!$A$3:$A$30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15.71"/>
    <col collapsed="false" customWidth="true" hidden="false" outlineLevel="0" max="3" min="3" style="0" width="73.86"/>
    <col collapsed="false" customWidth="true" hidden="false" outlineLevel="0" max="10" min="4" style="0" width="15.71"/>
  </cols>
  <sheetData>
    <row r="2" s="22" customFormat="true" ht="36.75" hidden="false" customHeight="true" outlineLevel="0" collapsed="false">
      <c r="A2" s="21" t="s">
        <v>48</v>
      </c>
      <c r="B2" s="21" t="s">
        <v>33</v>
      </c>
      <c r="C2" s="21" t="s">
        <v>49</v>
      </c>
      <c r="D2" s="21" t="s">
        <v>50</v>
      </c>
      <c r="E2" s="21" t="s">
        <v>51</v>
      </c>
      <c r="F2" s="21" t="s">
        <v>52</v>
      </c>
      <c r="G2" s="21" t="s">
        <v>53</v>
      </c>
    </row>
    <row r="3" customFormat="false" ht="15" hidden="false" customHeight="false" outlineLevel="0" collapsed="false">
      <c r="A3" s="23" t="s">
        <v>54</v>
      </c>
      <c r="B3" s="23" t="s">
        <v>55</v>
      </c>
      <c r="C3" s="23" t="s">
        <v>56</v>
      </c>
      <c r="D3" s="23" t="s">
        <v>57</v>
      </c>
      <c r="E3" s="23" t="s">
        <v>58</v>
      </c>
      <c r="F3" s="23" t="s">
        <v>59</v>
      </c>
      <c r="G3" s="23" t="s">
        <v>60</v>
      </c>
    </row>
    <row r="4" customFormat="false" ht="15" hidden="false" customHeight="false" outlineLevel="0" collapsed="false">
      <c r="A4" s="23" t="s">
        <v>61</v>
      </c>
      <c r="B4" s="23" t="s">
        <v>62</v>
      </c>
      <c r="C4" s="23" t="s">
        <v>63</v>
      </c>
      <c r="D4" s="23" t="s">
        <v>64</v>
      </c>
      <c r="E4" s="23" t="s">
        <v>65</v>
      </c>
      <c r="F4" s="23" t="s">
        <v>66</v>
      </c>
      <c r="G4" s="23" t="s">
        <v>67</v>
      </c>
    </row>
    <row r="5" customFormat="false" ht="15" hidden="false" customHeight="false" outlineLevel="0" collapsed="false">
      <c r="A5" s="23" t="s">
        <v>68</v>
      </c>
      <c r="B5" s="23" t="s">
        <v>69</v>
      </c>
      <c r="C5" s="23" t="s">
        <v>70</v>
      </c>
      <c r="D5" s="23" t="s">
        <v>71</v>
      </c>
      <c r="E5" s="23" t="s">
        <v>72</v>
      </c>
      <c r="F5" s="23" t="s">
        <v>73</v>
      </c>
      <c r="G5" s="23" t="s">
        <v>74</v>
      </c>
    </row>
    <row r="6" customFormat="false" ht="15" hidden="false" customHeight="false" outlineLevel="0" collapsed="false">
      <c r="A6" s="23" t="s">
        <v>75</v>
      </c>
      <c r="B6" s="23" t="s">
        <v>76</v>
      </c>
      <c r="C6" s="23" t="s">
        <v>77</v>
      </c>
      <c r="D6" s="23" t="s">
        <v>44</v>
      </c>
      <c r="E6" s="23" t="s">
        <v>78</v>
      </c>
      <c r="F6" s="23" t="s">
        <v>79</v>
      </c>
      <c r="G6" s="23" t="s">
        <v>80</v>
      </c>
    </row>
    <row r="7" customFormat="false" ht="15" hidden="false" customHeight="false" outlineLevel="0" collapsed="false">
      <c r="A7" s="23" t="s">
        <v>81</v>
      </c>
      <c r="B7" s="23" t="s">
        <v>82</v>
      </c>
      <c r="C7" s="23" t="s">
        <v>83</v>
      </c>
      <c r="D7" s="23"/>
      <c r="E7" s="23" t="s">
        <v>84</v>
      </c>
      <c r="F7" s="23" t="s">
        <v>85</v>
      </c>
      <c r="G7" s="23" t="s">
        <v>86</v>
      </c>
    </row>
    <row r="8" customFormat="false" ht="15" hidden="false" customHeight="false" outlineLevel="0" collapsed="false">
      <c r="A8" s="23" t="s">
        <v>87</v>
      </c>
      <c r="B8" s="23" t="s">
        <v>88</v>
      </c>
      <c r="C8" s="23" t="s">
        <v>89</v>
      </c>
      <c r="D8" s="23"/>
      <c r="E8" s="23" t="s">
        <v>90</v>
      </c>
      <c r="F8" s="23" t="s">
        <v>44</v>
      </c>
      <c r="G8" s="23" t="s">
        <v>44</v>
      </c>
    </row>
    <row r="9" customFormat="false" ht="15" hidden="false" customHeight="false" outlineLevel="0" collapsed="false">
      <c r="A9" s="23" t="s">
        <v>39</v>
      </c>
      <c r="B9" s="23" t="s">
        <v>91</v>
      </c>
      <c r="C9" s="23" t="s">
        <v>92</v>
      </c>
      <c r="D9" s="23"/>
      <c r="E9" s="23" t="s">
        <v>93</v>
      </c>
      <c r="F9" s="23"/>
      <c r="G9" s="23"/>
    </row>
    <row r="10" customFormat="false" ht="15" hidden="false" customHeight="false" outlineLevel="0" collapsed="false">
      <c r="A10" s="23" t="s">
        <v>94</v>
      </c>
      <c r="B10" s="23" t="s">
        <v>95</v>
      </c>
      <c r="C10" s="23" t="s">
        <v>96</v>
      </c>
      <c r="D10" s="23"/>
      <c r="E10" s="23" t="s">
        <v>97</v>
      </c>
      <c r="F10" s="23"/>
      <c r="G10" s="23"/>
    </row>
    <row r="11" customFormat="false" ht="15" hidden="false" customHeight="false" outlineLevel="0" collapsed="false">
      <c r="A11" s="23" t="s">
        <v>98</v>
      </c>
      <c r="B11" s="23" t="s">
        <v>99</v>
      </c>
      <c r="C11" s="23" t="s">
        <v>100</v>
      </c>
      <c r="D11" s="23"/>
      <c r="E11" s="23"/>
      <c r="F11" s="23"/>
      <c r="G11" s="23"/>
    </row>
    <row r="12" customFormat="false" ht="15" hidden="false" customHeight="false" outlineLevel="0" collapsed="false">
      <c r="A12" s="23" t="s">
        <v>101</v>
      </c>
      <c r="B12" s="23" t="s">
        <v>102</v>
      </c>
      <c r="C12" s="23" t="s">
        <v>103</v>
      </c>
      <c r="D12" s="23"/>
      <c r="E12" s="23"/>
      <c r="F12" s="23"/>
      <c r="G12" s="23"/>
    </row>
    <row r="13" customFormat="false" ht="15" hidden="false" customHeight="false" outlineLevel="0" collapsed="false">
      <c r="A13" s="23" t="s">
        <v>104</v>
      </c>
      <c r="B13" s="23" t="s">
        <v>105</v>
      </c>
      <c r="C13" s="23" t="s">
        <v>106</v>
      </c>
      <c r="D13" s="23"/>
      <c r="E13" s="23"/>
      <c r="F13" s="23"/>
      <c r="G13" s="23"/>
    </row>
    <row r="14" customFormat="false" ht="15" hidden="false" customHeight="false" outlineLevel="0" collapsed="false">
      <c r="A14" s="23" t="s">
        <v>107</v>
      </c>
      <c r="B14" s="23" t="s">
        <v>108</v>
      </c>
      <c r="C14" s="23" t="s">
        <v>109</v>
      </c>
      <c r="D14" s="23"/>
      <c r="E14" s="23"/>
      <c r="F14" s="23"/>
      <c r="G14" s="23"/>
    </row>
    <row r="15" customFormat="false" ht="15" hidden="false" customHeight="false" outlineLevel="0" collapsed="false">
      <c r="A15" s="23" t="s">
        <v>110</v>
      </c>
      <c r="B15" s="23" t="s">
        <v>111</v>
      </c>
      <c r="C15" s="23" t="s">
        <v>112</v>
      </c>
      <c r="D15" s="23"/>
      <c r="E15" s="23"/>
      <c r="F15" s="23"/>
      <c r="G15" s="23"/>
    </row>
    <row r="16" customFormat="false" ht="15" hidden="false" customHeight="false" outlineLevel="0" collapsed="false">
      <c r="A16" s="23" t="s">
        <v>113</v>
      </c>
      <c r="B16" s="23" t="s">
        <v>114</v>
      </c>
      <c r="C16" s="23" t="s">
        <v>115</v>
      </c>
      <c r="D16" s="23"/>
      <c r="E16" s="23"/>
      <c r="F16" s="23"/>
      <c r="G16" s="23"/>
    </row>
    <row r="17" customFormat="false" ht="15" hidden="false" customHeight="false" outlineLevel="0" collapsed="false">
      <c r="A17" s="23" t="s">
        <v>116</v>
      </c>
      <c r="B17" s="23" t="s">
        <v>117</v>
      </c>
      <c r="C17" s="23" t="s">
        <v>118</v>
      </c>
      <c r="D17" s="23"/>
      <c r="E17" s="23"/>
      <c r="F17" s="23"/>
      <c r="G17" s="23"/>
    </row>
    <row r="18" customFormat="false" ht="15" hidden="false" customHeight="false" outlineLevel="0" collapsed="false">
      <c r="A18" s="23" t="s">
        <v>119</v>
      </c>
      <c r="B18" s="23" t="s">
        <v>120</v>
      </c>
      <c r="C18" s="23" t="s">
        <v>121</v>
      </c>
      <c r="D18" s="23"/>
      <c r="E18" s="23"/>
      <c r="F18" s="23"/>
      <c r="G18" s="23"/>
    </row>
    <row r="19" customFormat="false" ht="15" hidden="false" customHeight="false" outlineLevel="0" collapsed="false">
      <c r="A19" s="23" t="s">
        <v>122</v>
      </c>
      <c r="B19" s="23" t="s">
        <v>123</v>
      </c>
      <c r="C19" s="23" t="s">
        <v>124</v>
      </c>
      <c r="D19" s="23"/>
      <c r="E19" s="23"/>
      <c r="F19" s="23"/>
      <c r="G19" s="23"/>
    </row>
    <row r="20" customFormat="false" ht="15" hidden="false" customHeight="false" outlineLevel="0" collapsed="false">
      <c r="A20" s="23" t="s">
        <v>125</v>
      </c>
      <c r="B20" s="23" t="s">
        <v>126</v>
      </c>
      <c r="C20" s="23" t="s">
        <v>127</v>
      </c>
      <c r="D20" s="23"/>
      <c r="E20" s="23"/>
      <c r="F20" s="23"/>
      <c r="G20" s="23"/>
    </row>
    <row r="21" customFormat="false" ht="15" hidden="false" customHeight="false" outlineLevel="0" collapsed="false">
      <c r="A21" s="23" t="s">
        <v>128</v>
      </c>
      <c r="B21" s="23" t="s">
        <v>129</v>
      </c>
      <c r="C21" s="23" t="s">
        <v>130</v>
      </c>
      <c r="D21" s="23"/>
      <c r="E21" s="23"/>
      <c r="F21" s="23"/>
      <c r="G21" s="23"/>
    </row>
    <row r="22" customFormat="false" ht="15" hidden="false" customHeight="false" outlineLevel="0" collapsed="false">
      <c r="A22" s="23" t="s">
        <v>131</v>
      </c>
      <c r="B22" s="23" t="s">
        <v>132</v>
      </c>
      <c r="C22" s="23" t="s">
        <v>133</v>
      </c>
      <c r="D22" s="23"/>
      <c r="E22" s="23"/>
      <c r="F22" s="23"/>
      <c r="G22" s="23"/>
    </row>
    <row r="23" customFormat="false" ht="15" hidden="false" customHeight="false" outlineLevel="0" collapsed="false">
      <c r="A23" s="23" t="s">
        <v>134</v>
      </c>
      <c r="B23" s="23" t="s">
        <v>135</v>
      </c>
      <c r="C23" s="23" t="s">
        <v>136</v>
      </c>
      <c r="D23" s="23"/>
      <c r="E23" s="23"/>
      <c r="F23" s="23"/>
      <c r="G23" s="23"/>
    </row>
    <row r="24" customFormat="false" ht="15" hidden="false" customHeight="false" outlineLevel="0" collapsed="false">
      <c r="A24" s="23" t="s">
        <v>137</v>
      </c>
      <c r="B24" s="23" t="s">
        <v>138</v>
      </c>
      <c r="C24" s="23" t="s">
        <v>139</v>
      </c>
      <c r="D24" s="23"/>
      <c r="E24" s="23"/>
      <c r="F24" s="23"/>
      <c r="G24" s="23"/>
    </row>
    <row r="25" customFormat="false" ht="15" hidden="false" customHeight="false" outlineLevel="0" collapsed="false">
      <c r="A25" s="23" t="s">
        <v>140</v>
      </c>
      <c r="B25" s="23" t="s">
        <v>141</v>
      </c>
      <c r="C25" s="23" t="s">
        <v>142</v>
      </c>
      <c r="D25" s="23"/>
      <c r="E25" s="23"/>
      <c r="F25" s="23"/>
      <c r="G25" s="23"/>
    </row>
    <row r="26" customFormat="false" ht="15" hidden="false" customHeight="false" outlineLevel="0" collapsed="false">
      <c r="A26" s="23" t="s">
        <v>143</v>
      </c>
      <c r="B26" s="23" t="s">
        <v>144</v>
      </c>
      <c r="C26" s="23" t="s">
        <v>145</v>
      </c>
      <c r="D26" s="23"/>
      <c r="E26" s="23"/>
      <c r="F26" s="23"/>
      <c r="G26" s="23"/>
    </row>
    <row r="27" customFormat="false" ht="15" hidden="false" customHeight="false" outlineLevel="0" collapsed="false">
      <c r="A27" s="23" t="s">
        <v>146</v>
      </c>
      <c r="B27" s="23" t="s">
        <v>147</v>
      </c>
      <c r="C27" s="23" t="s">
        <v>148</v>
      </c>
      <c r="D27" s="23"/>
      <c r="E27" s="23"/>
      <c r="F27" s="23"/>
      <c r="G27" s="23"/>
    </row>
    <row r="28" customFormat="false" ht="15" hidden="false" customHeight="false" outlineLevel="0" collapsed="false">
      <c r="A28" s="23" t="s">
        <v>149</v>
      </c>
      <c r="B28" s="23" t="s">
        <v>150</v>
      </c>
      <c r="C28" s="23" t="s">
        <v>151</v>
      </c>
      <c r="D28" s="23"/>
      <c r="E28" s="23"/>
      <c r="F28" s="23"/>
      <c r="G28" s="23"/>
    </row>
    <row r="29" customFormat="false" ht="15" hidden="false" customHeight="false" outlineLevel="0" collapsed="false">
      <c r="A29" s="23" t="s">
        <v>152</v>
      </c>
      <c r="B29" s="23" t="s">
        <v>153</v>
      </c>
      <c r="C29" s="23" t="s">
        <v>154</v>
      </c>
      <c r="D29" s="23"/>
      <c r="E29" s="23"/>
      <c r="F29" s="23"/>
      <c r="G29" s="23"/>
    </row>
    <row r="30" customFormat="false" ht="15" hidden="false" customHeight="false" outlineLevel="0" collapsed="false">
      <c r="A30" s="23" t="s">
        <v>155</v>
      </c>
      <c r="B30" s="23" t="s">
        <v>156</v>
      </c>
      <c r="C30" s="23" t="s">
        <v>157</v>
      </c>
      <c r="D30" s="23"/>
      <c r="E30" s="23"/>
      <c r="F30" s="23"/>
      <c r="G30" s="23"/>
    </row>
    <row r="31" customFormat="false" ht="15" hidden="false" customHeight="false" outlineLevel="0" collapsed="false">
      <c r="A31" s="23"/>
      <c r="B31" s="23"/>
      <c r="C31" s="23"/>
      <c r="D31" s="23"/>
      <c r="E31" s="23"/>
      <c r="F31" s="23"/>
      <c r="G31" s="23"/>
    </row>
    <row r="32" customFormat="false" ht="15" hidden="false" customHeight="false" outlineLevel="0" collapsed="false">
      <c r="A32" s="23"/>
      <c r="B32" s="23"/>
      <c r="C32" s="23"/>
      <c r="D32" s="23"/>
      <c r="E32" s="23"/>
      <c r="F32" s="23"/>
      <c r="G32" s="23"/>
    </row>
    <row r="33" customFormat="false" ht="15" hidden="false" customHeight="false" outlineLevel="0" collapsed="false">
      <c r="A33" s="23"/>
      <c r="B33" s="23"/>
      <c r="C33" s="23"/>
      <c r="D33" s="23"/>
      <c r="E33" s="23"/>
      <c r="F33" s="23"/>
      <c r="G33" s="23"/>
    </row>
    <row r="34" customFormat="false" ht="15" hidden="false" customHeight="false" outlineLevel="0" collapsed="false">
      <c r="A34" s="23"/>
      <c r="B34" s="23"/>
      <c r="C34" s="23"/>
      <c r="D34" s="23"/>
      <c r="E34" s="23"/>
      <c r="F34" s="23"/>
      <c r="G34" s="23"/>
    </row>
    <row r="35" customFormat="false" ht="15" hidden="false" customHeight="false" outlineLevel="0" collapsed="false">
      <c r="A35" s="23"/>
      <c r="B35" s="23"/>
      <c r="C35" s="23"/>
      <c r="D35" s="23"/>
      <c r="E35" s="23"/>
      <c r="F35" s="23"/>
      <c r="G35" s="23"/>
    </row>
    <row r="36" customFormat="false" ht="15" hidden="false" customHeight="false" outlineLevel="0" collapsed="false">
      <c r="A36" s="23"/>
      <c r="B36" s="23"/>
      <c r="C36" s="23"/>
      <c r="D36" s="23"/>
      <c r="E36" s="23"/>
      <c r="F36" s="23"/>
      <c r="G36" s="23"/>
    </row>
    <row r="37" customFormat="false" ht="15" hidden="false" customHeight="false" outlineLevel="0" collapsed="false">
      <c r="A37" s="23"/>
      <c r="B37" s="23"/>
      <c r="C37" s="23"/>
      <c r="D37" s="23"/>
      <c r="E37" s="23"/>
      <c r="F37" s="23"/>
      <c r="G37" s="23"/>
    </row>
    <row r="38" customFormat="false" ht="15" hidden="false" customHeight="false" outlineLevel="0" collapsed="false">
      <c r="A38" s="23"/>
      <c r="B38" s="23"/>
      <c r="C38" s="23"/>
      <c r="D38" s="23"/>
      <c r="E38" s="23"/>
      <c r="F38" s="23"/>
      <c r="G38" s="23"/>
    </row>
    <row r="39" customFormat="false" ht="15" hidden="false" customHeight="false" outlineLevel="0" collapsed="false">
      <c r="A39" s="23"/>
      <c r="B39" s="23"/>
      <c r="C39" s="23"/>
      <c r="D39" s="23"/>
      <c r="E39" s="23"/>
      <c r="F39" s="23"/>
      <c r="G39" s="23"/>
    </row>
    <row r="40" customFormat="false" ht="15" hidden="false" customHeight="false" outlineLevel="0" collapsed="false">
      <c r="A40" s="23"/>
      <c r="B40" s="23"/>
      <c r="C40" s="23"/>
      <c r="D40" s="23"/>
      <c r="E40" s="23"/>
      <c r="F40" s="23"/>
      <c r="G40" s="23"/>
    </row>
    <row r="41" customFormat="false" ht="15" hidden="false" customHeight="false" outlineLevel="0" collapsed="false">
      <c r="A41" s="23"/>
      <c r="B41" s="23"/>
      <c r="C41" s="23"/>
      <c r="D41" s="23"/>
      <c r="E41" s="23"/>
      <c r="F41" s="23"/>
      <c r="G41" s="23"/>
    </row>
    <row r="42" customFormat="false" ht="15" hidden="false" customHeight="false" outlineLevel="0" collapsed="false">
      <c r="A42" s="23"/>
      <c r="B42" s="23"/>
      <c r="C42" s="23"/>
      <c r="D42" s="23"/>
      <c r="E42" s="23"/>
      <c r="F42" s="23"/>
      <c r="G42" s="23"/>
    </row>
    <row r="43" customFormat="false" ht="15" hidden="false" customHeight="false" outlineLevel="0" collapsed="false">
      <c r="A43" s="23"/>
      <c r="B43" s="23"/>
      <c r="C43" s="23"/>
      <c r="D43" s="23"/>
      <c r="E43" s="23"/>
      <c r="F43" s="23"/>
      <c r="G43" s="23"/>
    </row>
    <row r="44" customFormat="false" ht="15" hidden="false" customHeight="false" outlineLevel="0" collapsed="false">
      <c r="A44" s="23"/>
      <c r="B44" s="23"/>
      <c r="C44" s="23"/>
      <c r="D44" s="23"/>
      <c r="E44" s="23"/>
      <c r="F44" s="23"/>
      <c r="G44" s="23"/>
    </row>
    <row r="45" customFormat="false" ht="15" hidden="false" customHeight="false" outlineLevel="0" collapsed="false">
      <c r="A45" s="23"/>
      <c r="B45" s="23"/>
      <c r="C45" s="23"/>
      <c r="D45" s="23"/>
      <c r="E45" s="23"/>
      <c r="F45" s="23"/>
      <c r="G45" s="23"/>
    </row>
    <row r="46" customFormat="false" ht="15" hidden="false" customHeight="false" outlineLevel="0" collapsed="false">
      <c r="A46" s="23"/>
      <c r="B46" s="23"/>
      <c r="C46" s="23"/>
      <c r="D46" s="23"/>
      <c r="E46" s="23"/>
      <c r="F46" s="23"/>
      <c r="G46" s="23"/>
    </row>
    <row r="47" customFormat="false" ht="15" hidden="false" customHeight="false" outlineLevel="0" collapsed="false">
      <c r="A47" s="23"/>
      <c r="B47" s="23"/>
      <c r="C47" s="23"/>
      <c r="D47" s="23"/>
      <c r="E47" s="23"/>
      <c r="F47" s="23"/>
      <c r="G47" s="23"/>
    </row>
    <row r="48" customFormat="false" ht="15" hidden="false" customHeight="false" outlineLevel="0" collapsed="false">
      <c r="A48" s="23"/>
      <c r="B48" s="23"/>
      <c r="C48" s="23"/>
      <c r="D48" s="23"/>
      <c r="E48" s="23"/>
      <c r="F48" s="23"/>
      <c r="G48" s="23"/>
    </row>
    <row r="49" customFormat="false" ht="15" hidden="false" customHeight="false" outlineLevel="0" collapsed="false">
      <c r="A49" s="23"/>
      <c r="B49" s="23"/>
      <c r="C49" s="23"/>
      <c r="D49" s="23"/>
      <c r="E49" s="23"/>
      <c r="F49" s="23"/>
      <c r="G49" s="23"/>
    </row>
    <row r="50" customFormat="false" ht="15" hidden="false" customHeight="false" outlineLevel="0" collapsed="false">
      <c r="A50" s="23"/>
      <c r="B50" s="23"/>
      <c r="C50" s="23"/>
      <c r="D50" s="23"/>
      <c r="E50" s="23"/>
      <c r="F50" s="23"/>
      <c r="G50" s="23"/>
    </row>
    <row r="51" customFormat="false" ht="15" hidden="false" customHeight="false" outlineLevel="0" collapsed="false">
      <c r="A51" s="23"/>
      <c r="B51" s="23"/>
      <c r="C51" s="23"/>
      <c r="D51" s="23"/>
      <c r="E51" s="23"/>
      <c r="F51" s="23"/>
      <c r="G51" s="23"/>
    </row>
    <row r="52" customFormat="false" ht="15" hidden="false" customHeight="false" outlineLevel="0" collapsed="false">
      <c r="A52" s="23"/>
      <c r="B52" s="23"/>
      <c r="C52" s="23"/>
      <c r="D52" s="23"/>
      <c r="E52" s="23"/>
      <c r="F52" s="23"/>
      <c r="G52" s="23"/>
    </row>
    <row r="53" customFormat="false" ht="15" hidden="false" customHeight="false" outlineLevel="0" collapsed="false">
      <c r="A53" s="23"/>
      <c r="B53" s="23"/>
      <c r="C53" s="23"/>
      <c r="D53" s="23"/>
      <c r="E53" s="23"/>
      <c r="F53" s="23"/>
      <c r="G53" s="23"/>
    </row>
    <row r="54" customFormat="false" ht="15" hidden="false" customHeight="false" outlineLevel="0" collapsed="false">
      <c r="A54" s="23"/>
      <c r="B54" s="23"/>
      <c r="C54" s="23"/>
      <c r="D54" s="23"/>
      <c r="E54" s="23"/>
      <c r="F54" s="23"/>
      <c r="G54" s="23"/>
    </row>
    <row r="55" customFormat="false" ht="15" hidden="false" customHeight="false" outlineLevel="0" collapsed="false">
      <c r="A55" s="23"/>
      <c r="B55" s="23"/>
      <c r="C55" s="23"/>
      <c r="D55" s="23"/>
      <c r="E55" s="23"/>
      <c r="F55" s="23"/>
      <c r="G55" s="23"/>
    </row>
    <row r="56" customFormat="false" ht="15" hidden="false" customHeight="false" outlineLevel="0" collapsed="false">
      <c r="A56" s="23"/>
      <c r="B56" s="23"/>
      <c r="C56" s="23"/>
      <c r="D56" s="23"/>
      <c r="E56" s="23"/>
      <c r="F56" s="23"/>
      <c r="G56" s="23"/>
    </row>
    <row r="57" customFormat="false" ht="15" hidden="false" customHeight="false" outlineLevel="0" collapsed="false">
      <c r="A57" s="23"/>
      <c r="B57" s="23"/>
      <c r="C57" s="23"/>
      <c r="D57" s="23"/>
      <c r="E57" s="23"/>
      <c r="F57" s="23"/>
      <c r="G57" s="23"/>
    </row>
    <row r="58" customFormat="false" ht="15" hidden="false" customHeight="false" outlineLevel="0" collapsed="false">
      <c r="A58" s="23"/>
      <c r="B58" s="23"/>
      <c r="C58" s="23"/>
      <c r="D58" s="23"/>
      <c r="E58" s="23"/>
      <c r="F58" s="23"/>
      <c r="G58" s="23"/>
    </row>
    <row r="59" customFormat="false" ht="15" hidden="false" customHeight="false" outlineLevel="0" collapsed="false">
      <c r="A59" s="23"/>
      <c r="B59" s="23"/>
      <c r="C59" s="23"/>
      <c r="D59" s="23"/>
      <c r="E59" s="23"/>
      <c r="F59" s="23"/>
      <c r="G59" s="23"/>
    </row>
    <row r="60" customFormat="false" ht="15" hidden="false" customHeight="false" outlineLevel="0" collapsed="false">
      <c r="A60" s="23"/>
      <c r="B60" s="23"/>
      <c r="C60" s="23"/>
      <c r="D60" s="23"/>
      <c r="E60" s="23"/>
      <c r="F60" s="23"/>
      <c r="G60" s="23"/>
    </row>
    <row r="61" customFormat="false" ht="15" hidden="false" customHeight="false" outlineLevel="0" collapsed="false">
      <c r="A61" s="23"/>
      <c r="B61" s="23"/>
      <c r="C61" s="23"/>
      <c r="D61" s="23"/>
      <c r="E61" s="23"/>
      <c r="F61" s="23"/>
      <c r="G61" s="23"/>
    </row>
    <row r="62" customFormat="false" ht="15" hidden="false" customHeight="false" outlineLevel="0" collapsed="false">
      <c r="A62" s="23"/>
      <c r="B62" s="23"/>
      <c r="C62" s="23"/>
      <c r="D62" s="23"/>
      <c r="E62" s="23"/>
      <c r="F62" s="23"/>
      <c r="G62" s="23"/>
    </row>
    <row r="63" customFormat="false" ht="15" hidden="false" customHeight="false" outlineLevel="0" collapsed="false">
      <c r="A63" s="23"/>
      <c r="B63" s="23"/>
      <c r="C63" s="23"/>
      <c r="D63" s="23"/>
      <c r="E63" s="23"/>
      <c r="F63" s="23"/>
      <c r="G63" s="23"/>
    </row>
    <row r="64" customFormat="false" ht="15" hidden="false" customHeight="false" outlineLevel="0" collapsed="false">
      <c r="A64" s="23"/>
      <c r="B64" s="23"/>
      <c r="C64" s="23"/>
      <c r="D64" s="23"/>
      <c r="E64" s="23"/>
      <c r="F64" s="23"/>
      <c r="G64" s="23"/>
    </row>
    <row r="65" customFormat="false" ht="15" hidden="false" customHeight="false" outlineLevel="0" collapsed="false">
      <c r="A65" s="23"/>
      <c r="B65" s="23"/>
      <c r="C65" s="23"/>
      <c r="D65" s="23"/>
      <c r="E65" s="23"/>
      <c r="F65" s="23"/>
      <c r="G65" s="23"/>
    </row>
    <row r="66" customFormat="false" ht="15" hidden="false" customHeight="false" outlineLevel="0" collapsed="false">
      <c r="A66" s="23"/>
      <c r="B66" s="23"/>
      <c r="C66" s="23"/>
      <c r="D66" s="23"/>
      <c r="E66" s="23"/>
      <c r="F66" s="23"/>
      <c r="G66" s="23"/>
    </row>
    <row r="67" customFormat="false" ht="15" hidden="false" customHeight="false" outlineLevel="0" collapsed="false">
      <c r="A67" s="23"/>
      <c r="B67" s="23"/>
      <c r="C67" s="23"/>
      <c r="D67" s="23"/>
      <c r="E67" s="23"/>
      <c r="F67" s="23"/>
      <c r="G67" s="23"/>
    </row>
    <row r="68" customFormat="false" ht="15" hidden="false" customHeight="false" outlineLevel="0" collapsed="false">
      <c r="A68" s="23"/>
      <c r="B68" s="23"/>
      <c r="C68" s="23"/>
      <c r="D68" s="23"/>
      <c r="E68" s="23"/>
      <c r="F68" s="23"/>
      <c r="G68" s="23"/>
    </row>
    <row r="69" customFormat="false" ht="15" hidden="false" customHeight="false" outlineLevel="0" collapsed="false">
      <c r="A69" s="23"/>
      <c r="B69" s="23"/>
      <c r="C69" s="23"/>
      <c r="D69" s="23"/>
      <c r="E69" s="23"/>
      <c r="F69" s="23"/>
      <c r="G69" s="23"/>
    </row>
    <row r="70" customFormat="false" ht="15" hidden="false" customHeight="false" outlineLevel="0" collapsed="false">
      <c r="A70" s="23"/>
      <c r="B70" s="23"/>
      <c r="C70" s="23"/>
      <c r="D70" s="23"/>
      <c r="E70" s="23"/>
      <c r="F70" s="23"/>
      <c r="G70" s="23"/>
    </row>
    <row r="71" customFormat="false" ht="15" hidden="false" customHeight="false" outlineLevel="0" collapsed="false">
      <c r="A71" s="23"/>
      <c r="B71" s="23"/>
      <c r="C71" s="23"/>
      <c r="D71" s="23"/>
      <c r="E71" s="23"/>
      <c r="F71" s="23"/>
      <c r="G71" s="23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2026-01-27T14:50:04Z</dcterms:created>
  <dc:creator>Charles Da Silva Salvatierre</dc:creator>
  <dc:description/>
  <dc:language>pt-BR</dc:language>
  <cp:lastModifiedBy/>
  <dcterms:modified xsi:type="dcterms:W3CDTF">2026-04-30T09:44:26Z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