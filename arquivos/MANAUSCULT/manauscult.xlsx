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9330727204\Documents\DPAT\imoveis\TCE\TCE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Imóveis'!$B$2:$Q$12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4" i="1"/>
  <c r="C10" i="1" l="1"/>
  <c r="D10" i="1"/>
  <c r="C11" i="1"/>
  <c r="D11" i="1"/>
  <c r="C12" i="1"/>
  <c r="D12" i="1"/>
  <c r="C3" i="1" l="1"/>
  <c r="D3" i="1"/>
  <c r="C4" i="1"/>
  <c r="D4" i="1"/>
  <c r="C5" i="1"/>
  <c r="D5" i="1"/>
  <c r="C6" i="1"/>
  <c r="D6" i="1"/>
  <c r="C7" i="1"/>
  <c r="D7" i="1"/>
  <c r="C8" i="1"/>
  <c r="D8" i="1"/>
  <c r="C9" i="1"/>
  <c r="D9" i="1"/>
</calcChain>
</file>

<file path=xl/sharedStrings.xml><?xml version="1.0" encoding="utf-8"?>
<sst xmlns="http://schemas.openxmlformats.org/spreadsheetml/2006/main" count="263" uniqueCount="140">
  <si>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</si>
  <si>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</si>
  <si>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</si>
  <si>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</si>
  <si>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</si>
  <si>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</si>
  <si>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</si>
  <si>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</si>
  <si>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</si>
  <si>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</si>
  <si>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</si>
  <si>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</si>
  <si>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</si>
  <si>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</si>
  <si>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</si>
  <si>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</si>
  <si>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</si>
  <si>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</si>
  <si>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</si>
  <si>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</si>
  <si>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</si>
  <si>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</si>
  <si>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</si>
  <si>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</si>
  <si>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</si>
  <si>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</si>
  <si>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</si>
  <si>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</si>
  <si>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</si>
  <si>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</si>
  <si>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</si>
  <si>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</si>
  <si>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</si>
  <si>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</si>
  <si>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</si>
  <si>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</si>
  <si>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</si>
  <si>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</si>
  <si>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</si>
  <si>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</si>
  <si>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</si>
  <si>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01101</t>
  </si>
  <si>
    <t>Câmara Municipal de Manaus</t>
  </si>
  <si>
    <t>CC</t>
  </si>
  <si>
    <t>11101</t>
  </si>
  <si>
    <t>Casa Civil</t>
  </si>
  <si>
    <t>CC-ERB</t>
  </si>
  <si>
    <t>11103</t>
  </si>
  <si>
    <t>GVP</t>
  </si>
  <si>
    <t>12101</t>
  </si>
  <si>
    <t>Gabinete do Vice-Prefeito</t>
  </si>
  <si>
    <t>PGM</t>
  </si>
  <si>
    <t>13101</t>
  </si>
  <si>
    <t>Procuradoria Geral do Municipio</t>
  </si>
  <si>
    <t>SEMAD</t>
  </si>
  <si>
    <t>14101</t>
  </si>
  <si>
    <t>Secretaria Municipal de Administração e Gestão</t>
  </si>
  <si>
    <t>CM</t>
  </si>
  <si>
    <t>15101</t>
  </si>
  <si>
    <t>Casa Militar</t>
  </si>
  <si>
    <t>SEMEF</t>
  </si>
  <si>
    <t>16101</t>
  </si>
  <si>
    <t xml:space="preserve"> Secretaria Municipal de Finanças, Planejamento e Tecnologia da Informação</t>
  </si>
  <si>
    <t>SEMED</t>
  </si>
  <si>
    <t>18101</t>
  </si>
  <si>
    <t>Secretaria Municipal de Educação</t>
  </si>
  <si>
    <t>SEMCOM</t>
  </si>
  <si>
    <t>19101</t>
  </si>
  <si>
    <t>Secretaria Municipal de Comunicação</t>
  </si>
  <si>
    <t>SEMTEPI</t>
  </si>
  <si>
    <t>21101</t>
  </si>
  <si>
    <t>Secretaria Municipal do Trabalho, Empreendedorismo e Inovação</t>
  </si>
  <si>
    <t>CGM</t>
  </si>
  <si>
    <t>22101</t>
  </si>
  <si>
    <t>Controladoria Geral do Municipio</t>
  </si>
  <si>
    <t>UNIDADE ORÇAMENTÁRIA</t>
  </si>
  <si>
    <t>FMS</t>
  </si>
  <si>
    <t>23701</t>
  </si>
  <si>
    <t>Fundo Municipal de Saúde</t>
  </si>
  <si>
    <t>Secretaria Municipal de Segurança Pública e Defesa Social</t>
  </si>
  <si>
    <t>SEMSEG</t>
  </si>
  <si>
    <t>25101</t>
  </si>
  <si>
    <t>SEMJEL</t>
  </si>
  <si>
    <t>26101</t>
  </si>
  <si>
    <t>Secretaria Municipal de Juventude, Esporte e Lazer</t>
  </si>
  <si>
    <t>SEMINF</t>
  </si>
  <si>
    <t>27101</t>
  </si>
  <si>
    <t>Secretaria Municipal de Infraestrutura</t>
  </si>
  <si>
    <t>SEMMAS</t>
  </si>
  <si>
    <t>28101</t>
  </si>
  <si>
    <t>Secretaria de Meio Ambiente e Sustentabilidade</t>
  </si>
  <si>
    <t>SEMASC</t>
  </si>
  <si>
    <t>Secretaria Municipal da Mulher, Assistência Social e Cidadania</t>
  </si>
  <si>
    <t>37101</t>
  </si>
  <si>
    <t>SEMULSP</t>
  </si>
  <si>
    <t>38101</t>
  </si>
  <si>
    <t>Secretaria Municipal de Limpeza Urbana</t>
  </si>
  <si>
    <t>SEMACC</t>
  </si>
  <si>
    <t>41101</t>
  </si>
  <si>
    <t>Secretaria Municipal de Agricultura, Abastecimento, Centro e Comércio Informal</t>
  </si>
  <si>
    <t>SEMHAF</t>
  </si>
  <si>
    <t>44101</t>
  </si>
  <si>
    <t>Secretaria Municipal de Habitação e Assuntos Fundiários</t>
  </si>
  <si>
    <t>FDT</t>
  </si>
  <si>
    <t>52301</t>
  </si>
  <si>
    <t>Fundação Doutor Thomas</t>
  </si>
  <si>
    <t>IMPLURB</t>
  </si>
  <si>
    <t>56201</t>
  </si>
  <si>
    <t>Instituto Municipal de Planejamento Urbano</t>
  </si>
  <si>
    <t>IMMU</t>
  </si>
  <si>
    <t>58201</t>
  </si>
  <si>
    <t>Instituto Municipal de Mobilidade Urbana</t>
  </si>
  <si>
    <t>MANAUSCULT</t>
  </si>
  <si>
    <t>62301</t>
  </si>
  <si>
    <t>Fundação Municipal de Cultura, Turismo e Eventos</t>
  </si>
  <si>
    <t>MANAUSPREV</t>
  </si>
  <si>
    <t>63201</t>
  </si>
  <si>
    <t>Manaus Previdência</t>
  </si>
  <si>
    <t>AGEMAN</t>
  </si>
  <si>
    <t>Agência Reguladora dos Serviços Públicos Delegados do Município de Manaus</t>
  </si>
  <si>
    <t>70201</t>
  </si>
  <si>
    <t xml:space="preserve">Rua Gabriel Salgado, S/Nºº - Centro - CEP 69.005-340 </t>
  </si>
  <si>
    <t xml:space="preserve">Rua Visconde de Mauá, 73 - Centro - CEP 69.005-430 </t>
  </si>
  <si>
    <t>Av. 7 de Setembro, 377 (antigo 23 e 27) - Centro - CEP 69.005-140.</t>
  </si>
  <si>
    <t>R. Governador Vitório, 357 (esquina com Av. 7 de Setembro) - Centro - CEP 69.005-350.</t>
  </si>
  <si>
    <t>Av. Pedro Teixeira (esquina com Av. Dom Pedro I), S/N - CEP 69.040-000.</t>
  </si>
  <si>
    <t>R. Bernardo Ramos, 69 - Centro - CEP 69.005-310.</t>
  </si>
  <si>
    <t>R. Bernardo Ramos, 77 - Centro - CEP 69.005-310.</t>
  </si>
  <si>
    <t>R. Monsenhor Coutinho, 529 - Praça do Congresso - Centro - CEP 69.101-110.</t>
  </si>
  <si>
    <t>Av. 7 de Setembro, S/N - Centro - CEP 69.005-140.</t>
  </si>
  <si>
    <t>Av. 7 de Setembro, 50 - Centro - CEP 69.005-140.</t>
  </si>
  <si>
    <t>Escritório de Representação em Brasília</t>
  </si>
  <si>
    <t>SEMSA</t>
  </si>
  <si>
    <t>23000</t>
  </si>
  <si>
    <t>Secretaria Municipal de Saúde</t>
  </si>
  <si>
    <t>SIGLA UG</t>
  </si>
  <si>
    <t>BENS IMÓVEIS - PMM</t>
  </si>
  <si>
    <t>Em ajuste</t>
  </si>
  <si>
    <t>TIPO DE EDIFICAÇÃO</t>
  </si>
  <si>
    <t>Nº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</si>
</sst>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tabSelected="1" zoomScale="115" zoomScaleNormal="115" workbookViewId="0">
      <pane ySplit="2" topLeftCell="A3" activePane="bottomLeft" state="frozen"/>
      <selection pane="bottomLeft" activeCell="B16" sqref="B16"/>
    </sheetView>
  </sheetViews>
  <sheetFormatPr defaultRowHeight="12.75" x14ac:dyDescent="0.2"/>
  <cols>
    <col min="1" max="1" width="5" style="4" bestFit="1" customWidth="1"/>
    <col min="2" max="2" width="11.85546875" style="4" bestFit="1" customWidth="1"/>
    <col min="3" max="3" width="71.140625" style="4" customWidth="1"/>
    <col min="4" max="4" width="13.85546875" style="4" bestFit="1" customWidth="1"/>
    <col min="5" max="5" width="99" style="4" bestFit="1" customWidth="1"/>
    <col min="6" max="6" width="13.42578125" style="4" customWidth="1"/>
    <col min="7" max="7" width="15.7109375" style="4" customWidth="1"/>
    <col min="8" max="8" width="15.42578125" style="4" bestFit="1" customWidth="1"/>
    <col min="9" max="9" width="14.85546875" style="4" bestFit="1" customWidth="1"/>
    <col min="10" max="10" width="15.7109375" style="4" customWidth="1"/>
    <col min="11" max="11" width="11.85546875" style="4" bestFit="1" customWidth="1"/>
    <col min="12" max="12" width="15.7109375" style="4" customWidth="1"/>
    <col min="13" max="13" width="20.28515625" style="4" bestFit="1" customWidth="1"/>
    <col min="14" max="17" width="15.7109375" style="4" customWidth="1"/>
    <col min="18" max="16384" width="9.140625" style="4"/>
  </cols>
  <sheetData>
    <row r="1" spans="1:17" ht="15.75" customHeight="1" thickBot="1" x14ac:dyDescent="0.25">
      <c r="A1" s="16" t="s">
        <v>136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 s="2" customFormat="1" ht="25.5" customHeight="1" thickBot="1" x14ac:dyDescent="0.3">
      <c r="A2" s="9" t="s">
        <v>139</v>
      </c>
      <c r="B2" s="14" t="s">
        <v>135</v>
      </c>
      <c r="C2" s="10" t="s">
        <v>38</v>
      </c>
      <c r="D2" s="10" t="s">
        <v>75</v>
      </c>
      <c r="E2" s="10" t="s">
        <v>0</v>
      </c>
      <c r="F2" s="10" t="s">
        <v>138</v>
      </c>
      <c r="G2" s="10" t="s">
        <v>9</v>
      </c>
      <c r="H2" s="10" t="s">
        <v>5</v>
      </c>
      <c r="I2" s="10" t="s">
        <v>3</v>
      </c>
      <c r="J2" s="10" t="s">
        <v>15</v>
      </c>
      <c r="K2" s="10" t="s">
        <v>6</v>
      </c>
      <c r="L2" s="10" t="s">
        <v>7</v>
      </c>
      <c r="M2" s="10" t="s">
        <v>8</v>
      </c>
      <c r="N2" s="10" t="s">
        <v>10</v>
      </c>
      <c r="O2" s="10" t="s">
        <v>11</v>
      </c>
      <c r="P2" s="10" t="s">
        <v>13</v>
      </c>
      <c r="Q2" s="11" t="s">
        <v>12</v>
      </c>
    </row>
    <row r="3" spans="1:17" x14ac:dyDescent="0.2">
      <c r="A3" s="15">
        <v>1</v>
      </c>
      <c r="B3" s="3" t="s">
        <v>112</v>
      </c>
      <c r="C3" s="3" t="str">
        <f>VLOOKUP(B3,Listas!A$3:C$30,3,0)</f>
        <v>Fundação Municipal de Cultura, Turismo e Eventos</v>
      </c>
      <c r="D3" s="3" t="str">
        <f>VLOOKUP(B3,Listas!A$3:C$30,2,0)</f>
        <v>62301</v>
      </c>
      <c r="E3" s="13" t="s">
        <v>121</v>
      </c>
      <c r="F3" s="3" t="s">
        <v>137</v>
      </c>
      <c r="G3" s="3" t="s">
        <v>137</v>
      </c>
      <c r="H3" s="5" t="s">
        <v>137</v>
      </c>
      <c r="I3" s="5"/>
      <c r="J3" s="3" t="s">
        <v>137</v>
      </c>
      <c r="K3" s="12" t="s">
        <v>137</v>
      </c>
      <c r="L3" s="3" t="s">
        <v>137</v>
      </c>
      <c r="M3" s="3" t="s">
        <v>137</v>
      </c>
      <c r="N3" s="3" t="s">
        <v>137</v>
      </c>
      <c r="O3" s="3" t="s">
        <v>137</v>
      </c>
      <c r="P3" s="3" t="s">
        <v>137</v>
      </c>
      <c r="Q3" s="3" t="s">
        <v>137</v>
      </c>
    </row>
    <row r="4" spans="1:17" x14ac:dyDescent="0.2">
      <c r="A4" s="15">
        <f>A3+1</f>
        <v>2</v>
      </c>
      <c r="B4" s="3" t="s">
        <v>112</v>
      </c>
      <c r="C4" s="3" t="str">
        <f>VLOOKUP(B4,Listas!A$3:C$30,3,0)</f>
        <v>Fundação Municipal de Cultura, Turismo e Eventos</v>
      </c>
      <c r="D4" s="3" t="str">
        <f>VLOOKUP(B4,Listas!A$3:C$30,2,0)</f>
        <v>62301</v>
      </c>
      <c r="E4" s="13" t="s">
        <v>122</v>
      </c>
      <c r="F4" s="3" t="s">
        <v>137</v>
      </c>
      <c r="G4" s="3" t="s">
        <v>137</v>
      </c>
      <c r="H4" s="5" t="s">
        <v>137</v>
      </c>
      <c r="I4" s="5"/>
      <c r="J4" s="3" t="s">
        <v>137</v>
      </c>
      <c r="K4" s="12" t="s">
        <v>137</v>
      </c>
      <c r="L4" s="3" t="s">
        <v>137</v>
      </c>
      <c r="M4" s="3" t="s">
        <v>137</v>
      </c>
      <c r="N4" s="3" t="s">
        <v>137</v>
      </c>
      <c r="O4" s="3" t="s">
        <v>137</v>
      </c>
      <c r="P4" s="3" t="s">
        <v>137</v>
      </c>
      <c r="Q4" s="3" t="s">
        <v>137</v>
      </c>
    </row>
    <row r="5" spans="1:17" x14ac:dyDescent="0.2">
      <c r="A5" s="15">
        <f t="shared" ref="A5:A12" si="0">A4+1</f>
        <v>3</v>
      </c>
      <c r="B5" s="3" t="s">
        <v>112</v>
      </c>
      <c r="C5" s="3" t="str">
        <f>VLOOKUP(B5,Listas!A$3:C$30,3,0)</f>
        <v>Fundação Municipal de Cultura, Turismo e Eventos</v>
      </c>
      <c r="D5" s="3" t="str">
        <f>VLOOKUP(B5,Listas!A$3:C$30,2,0)</f>
        <v>62301</v>
      </c>
      <c r="E5" s="13" t="s">
        <v>123</v>
      </c>
      <c r="F5" s="3" t="s">
        <v>137</v>
      </c>
      <c r="G5" s="3" t="s">
        <v>137</v>
      </c>
      <c r="H5" s="5" t="s">
        <v>137</v>
      </c>
      <c r="I5" s="5">
        <v>1029285.9</v>
      </c>
      <c r="J5" s="3" t="s">
        <v>137</v>
      </c>
      <c r="K5" s="12" t="s">
        <v>137</v>
      </c>
      <c r="L5" s="3" t="s">
        <v>137</v>
      </c>
      <c r="M5" s="3" t="s">
        <v>137</v>
      </c>
      <c r="N5" s="3" t="s">
        <v>137</v>
      </c>
      <c r="O5" s="3" t="s">
        <v>137</v>
      </c>
      <c r="P5" s="3" t="s">
        <v>137</v>
      </c>
      <c r="Q5" s="3" t="s">
        <v>137</v>
      </c>
    </row>
    <row r="6" spans="1:17" x14ac:dyDescent="0.2">
      <c r="A6" s="15">
        <f t="shared" si="0"/>
        <v>4</v>
      </c>
      <c r="B6" s="3" t="s">
        <v>112</v>
      </c>
      <c r="C6" s="3" t="str">
        <f>VLOOKUP(B6,Listas!A$3:C$30,3,0)</f>
        <v>Fundação Municipal de Cultura, Turismo e Eventos</v>
      </c>
      <c r="D6" s="3" t="str">
        <f>VLOOKUP(B6,Listas!A$3:C$30,2,0)</f>
        <v>62301</v>
      </c>
      <c r="E6" s="13" t="s">
        <v>124</v>
      </c>
      <c r="F6" s="3" t="s">
        <v>137</v>
      </c>
      <c r="G6" s="3" t="s">
        <v>137</v>
      </c>
      <c r="H6" s="5" t="s">
        <v>137</v>
      </c>
      <c r="I6" s="5">
        <v>0</v>
      </c>
      <c r="J6" s="3" t="s">
        <v>137</v>
      </c>
      <c r="K6" s="12" t="s">
        <v>137</v>
      </c>
      <c r="L6" s="3" t="s">
        <v>137</v>
      </c>
      <c r="M6" s="3" t="s">
        <v>137</v>
      </c>
      <c r="N6" s="3" t="s">
        <v>137</v>
      </c>
      <c r="O6" s="3" t="s">
        <v>137</v>
      </c>
      <c r="P6" s="3" t="s">
        <v>137</v>
      </c>
      <c r="Q6" s="3" t="s">
        <v>137</v>
      </c>
    </row>
    <row r="7" spans="1:17" x14ac:dyDescent="0.2">
      <c r="A7" s="15">
        <f t="shared" si="0"/>
        <v>5</v>
      </c>
      <c r="B7" s="3" t="s">
        <v>112</v>
      </c>
      <c r="C7" s="3" t="str">
        <f>VLOOKUP(B7,Listas!A$3:C$30,3,0)</f>
        <v>Fundação Municipal de Cultura, Turismo e Eventos</v>
      </c>
      <c r="D7" s="3" t="str">
        <f>VLOOKUP(B7,Listas!A$3:C$30,2,0)</f>
        <v>62301</v>
      </c>
      <c r="E7" s="13" t="s">
        <v>125</v>
      </c>
      <c r="F7" s="3" t="s">
        <v>137</v>
      </c>
      <c r="G7" s="3" t="s">
        <v>137</v>
      </c>
      <c r="H7" s="5" t="s">
        <v>137</v>
      </c>
      <c r="I7" s="5">
        <v>2313976.9500000002</v>
      </c>
      <c r="J7" s="3" t="s">
        <v>137</v>
      </c>
      <c r="K7" s="12" t="s">
        <v>137</v>
      </c>
      <c r="L7" s="3" t="s">
        <v>137</v>
      </c>
      <c r="M7" s="3" t="s">
        <v>137</v>
      </c>
      <c r="N7" s="3" t="s">
        <v>137</v>
      </c>
      <c r="O7" s="3" t="s">
        <v>137</v>
      </c>
      <c r="P7" s="3" t="s">
        <v>137</v>
      </c>
      <c r="Q7" s="3" t="s">
        <v>137</v>
      </c>
    </row>
    <row r="8" spans="1:17" x14ac:dyDescent="0.2">
      <c r="A8" s="15">
        <f t="shared" si="0"/>
        <v>6</v>
      </c>
      <c r="B8" s="3" t="s">
        <v>112</v>
      </c>
      <c r="C8" s="3" t="str">
        <f>VLOOKUP(B8,Listas!A$3:C$30,3,0)</f>
        <v>Fundação Municipal de Cultura, Turismo e Eventos</v>
      </c>
      <c r="D8" s="3" t="str">
        <f>VLOOKUP(B8,Listas!A$3:C$30,2,0)</f>
        <v>62301</v>
      </c>
      <c r="E8" s="13" t="s">
        <v>126</v>
      </c>
      <c r="F8" s="3" t="s">
        <v>137</v>
      </c>
      <c r="G8" s="3" t="s">
        <v>137</v>
      </c>
      <c r="H8" s="5" t="s">
        <v>137</v>
      </c>
      <c r="I8" s="5">
        <v>154440.46</v>
      </c>
      <c r="J8" s="3" t="s">
        <v>137</v>
      </c>
      <c r="K8" s="12" t="s">
        <v>137</v>
      </c>
      <c r="L8" s="3" t="s">
        <v>137</v>
      </c>
      <c r="M8" s="3" t="s">
        <v>137</v>
      </c>
      <c r="N8" s="3" t="s">
        <v>137</v>
      </c>
      <c r="O8" s="3" t="s">
        <v>137</v>
      </c>
      <c r="P8" s="3" t="s">
        <v>137</v>
      </c>
      <c r="Q8" s="3" t="s">
        <v>137</v>
      </c>
    </row>
    <row r="9" spans="1:17" x14ac:dyDescent="0.2">
      <c r="A9" s="15">
        <f t="shared" si="0"/>
        <v>7</v>
      </c>
      <c r="B9" s="3" t="s">
        <v>112</v>
      </c>
      <c r="C9" s="3" t="str">
        <f>VLOOKUP(B9,Listas!A$3:C$30,3,0)</f>
        <v>Fundação Municipal de Cultura, Turismo e Eventos</v>
      </c>
      <c r="D9" s="3" t="str">
        <f>VLOOKUP(B9,Listas!A$3:C$30,2,0)</f>
        <v>62301</v>
      </c>
      <c r="E9" s="13" t="s">
        <v>127</v>
      </c>
      <c r="F9" s="3" t="s">
        <v>137</v>
      </c>
      <c r="G9" s="3" t="s">
        <v>137</v>
      </c>
      <c r="H9" s="5" t="s">
        <v>137</v>
      </c>
      <c r="I9" s="5">
        <v>182297.09</v>
      </c>
      <c r="J9" s="3" t="s">
        <v>137</v>
      </c>
      <c r="K9" s="12" t="s">
        <v>137</v>
      </c>
      <c r="L9" s="3" t="s">
        <v>137</v>
      </c>
      <c r="M9" s="3" t="s">
        <v>137</v>
      </c>
      <c r="N9" s="3" t="s">
        <v>137</v>
      </c>
      <c r="O9" s="3" t="s">
        <v>137</v>
      </c>
      <c r="P9" s="3" t="s">
        <v>137</v>
      </c>
      <c r="Q9" s="3" t="s">
        <v>137</v>
      </c>
    </row>
    <row r="10" spans="1:17" x14ac:dyDescent="0.2">
      <c r="A10" s="15">
        <f t="shared" si="0"/>
        <v>8</v>
      </c>
      <c r="B10" s="3" t="s">
        <v>112</v>
      </c>
      <c r="C10" s="3" t="str">
        <f>VLOOKUP(B10,Listas!A$3:C$30,3,0)</f>
        <v>Fundação Municipal de Cultura, Turismo e Eventos</v>
      </c>
      <c r="D10" s="3" t="str">
        <f>VLOOKUP(B10,Listas!A$3:C$30,2,0)</f>
        <v>62301</v>
      </c>
      <c r="E10" s="13" t="s">
        <v>128</v>
      </c>
      <c r="F10" s="3" t="s">
        <v>137</v>
      </c>
      <c r="G10" s="3" t="s">
        <v>137</v>
      </c>
      <c r="H10" s="5" t="s">
        <v>137</v>
      </c>
      <c r="I10" s="5">
        <v>1005386.06</v>
      </c>
      <c r="J10" s="3" t="s">
        <v>137</v>
      </c>
      <c r="K10" s="12" t="s">
        <v>137</v>
      </c>
      <c r="L10" s="3" t="s">
        <v>137</v>
      </c>
      <c r="M10" s="3" t="s">
        <v>137</v>
      </c>
      <c r="N10" s="3" t="s">
        <v>137</v>
      </c>
      <c r="O10" s="3" t="s">
        <v>137</v>
      </c>
      <c r="P10" s="3" t="s">
        <v>137</v>
      </c>
      <c r="Q10" s="3" t="s">
        <v>137</v>
      </c>
    </row>
    <row r="11" spans="1:17" x14ac:dyDescent="0.2">
      <c r="A11" s="15">
        <f t="shared" si="0"/>
        <v>9</v>
      </c>
      <c r="B11" s="3" t="s">
        <v>112</v>
      </c>
      <c r="C11" s="3" t="str">
        <f>VLOOKUP(B11,Listas!A$3:C$30,3,0)</f>
        <v>Fundação Municipal de Cultura, Turismo e Eventos</v>
      </c>
      <c r="D11" s="3" t="str">
        <f>VLOOKUP(B11,Listas!A$3:C$30,2,0)</f>
        <v>62301</v>
      </c>
      <c r="E11" s="13" t="s">
        <v>129</v>
      </c>
      <c r="F11" s="3" t="s">
        <v>137</v>
      </c>
      <c r="G11" s="3" t="s">
        <v>137</v>
      </c>
      <c r="H11" s="5" t="s">
        <v>137</v>
      </c>
      <c r="I11" s="5">
        <v>0</v>
      </c>
      <c r="J11" s="3" t="s">
        <v>137</v>
      </c>
      <c r="K11" s="12" t="s">
        <v>137</v>
      </c>
      <c r="L11" s="3" t="s">
        <v>137</v>
      </c>
      <c r="M11" s="3" t="s">
        <v>137</v>
      </c>
      <c r="N11" s="3" t="s">
        <v>137</v>
      </c>
      <c r="O11" s="3" t="s">
        <v>137</v>
      </c>
      <c r="P11" s="3" t="s">
        <v>137</v>
      </c>
      <c r="Q11" s="3" t="s">
        <v>137</v>
      </c>
    </row>
    <row r="12" spans="1:17" x14ac:dyDescent="0.2">
      <c r="A12" s="15">
        <f t="shared" si="0"/>
        <v>10</v>
      </c>
      <c r="B12" s="3" t="s">
        <v>112</v>
      </c>
      <c r="C12" s="3" t="str">
        <f>VLOOKUP(B12,Listas!A$3:C$30,3,0)</f>
        <v>Fundação Municipal de Cultura, Turismo e Eventos</v>
      </c>
      <c r="D12" s="3" t="str">
        <f>VLOOKUP(B12,Listas!A$3:C$30,2,0)</f>
        <v>62301</v>
      </c>
      <c r="E12" s="13" t="s">
        <v>130</v>
      </c>
      <c r="F12" s="3" t="s">
        <v>137</v>
      </c>
      <c r="G12" s="3" t="s">
        <v>137</v>
      </c>
      <c r="H12" s="5" t="s">
        <v>137</v>
      </c>
      <c r="I12" s="5">
        <v>17530253.600000001</v>
      </c>
      <c r="J12" s="3" t="s">
        <v>137</v>
      </c>
      <c r="K12" s="12" t="s">
        <v>137</v>
      </c>
      <c r="L12" s="3" t="s">
        <v>137</v>
      </c>
      <c r="M12" s="3" t="s">
        <v>137</v>
      </c>
      <c r="N12" s="3" t="s">
        <v>137</v>
      </c>
      <c r="O12" s="3" t="s">
        <v>137</v>
      </c>
      <c r="P12" s="3" t="s">
        <v>137</v>
      </c>
      <c r="Q12" s="3" t="s">
        <v>137</v>
      </c>
    </row>
  </sheetData>
  <mergeCells count="1">
    <mergeCell ref="A1:Q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Listas!$F$3:$F$10</xm:f>
          </x14:formula1>
          <xm:sqref>G3:G12</xm:sqref>
        </x14:dataValidation>
        <x14:dataValidation type="list" allowBlank="1" showInputMessage="1" showErrorMessage="1">
          <x14:formula1>
            <xm:f>Listas!$D$3:$D$8</xm:f>
          </x14:formula1>
          <xm:sqref>F3:F12</xm:sqref>
        </x14:dataValidation>
        <x14:dataValidation type="list" allowBlank="1" showInputMessage="1" showErrorMessage="1">
          <x14:formula1>
            <xm:f>Listas!$A$3:$A$30</xm:f>
          </x14:formula1>
          <xm:sqref>B3:B12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8" sqref="C1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75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118</v>
      </c>
      <c r="B3" s="6" t="s">
        <v>120</v>
      </c>
      <c r="C3" s="6" t="s">
        <v>119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43</v>
      </c>
      <c r="B4" s="6" t="s">
        <v>44</v>
      </c>
      <c r="C4" s="6" t="s">
        <v>45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46</v>
      </c>
      <c r="B5" s="6" t="s">
        <v>47</v>
      </c>
      <c r="C5" s="6" t="s">
        <v>131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72</v>
      </c>
      <c r="B6" s="6" t="s">
        <v>73</v>
      </c>
      <c r="C6" s="6" t="s">
        <v>74</v>
      </c>
      <c r="D6" s="6" t="s">
        <v>137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57</v>
      </c>
      <c r="B7" s="6" t="s">
        <v>58</v>
      </c>
      <c r="C7" s="6" t="s">
        <v>59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41</v>
      </c>
      <c r="C8" s="6" t="s">
        <v>42</v>
      </c>
      <c r="D8" s="6"/>
      <c r="E8" s="6" t="s">
        <v>20</v>
      </c>
      <c r="F8" s="6" t="s">
        <v>137</v>
      </c>
      <c r="G8" s="6" t="s">
        <v>137</v>
      </c>
    </row>
    <row r="9" spans="1:7" x14ac:dyDescent="0.25">
      <c r="A9" s="6" t="s">
        <v>103</v>
      </c>
      <c r="B9" s="6" t="s">
        <v>104</v>
      </c>
      <c r="C9" s="6" t="s">
        <v>105</v>
      </c>
      <c r="D9" s="6"/>
      <c r="E9" s="6" t="s">
        <v>23</v>
      </c>
      <c r="F9" s="6"/>
      <c r="G9" s="6"/>
    </row>
    <row r="10" spans="1:7" x14ac:dyDescent="0.25">
      <c r="A10" s="6" t="s">
        <v>76</v>
      </c>
      <c r="B10" s="6" t="s">
        <v>77</v>
      </c>
      <c r="C10" s="6" t="s">
        <v>78</v>
      </c>
      <c r="D10" s="6"/>
      <c r="E10" s="6" t="s">
        <v>21</v>
      </c>
      <c r="F10" s="6"/>
      <c r="G10" s="6"/>
    </row>
    <row r="11" spans="1:7" x14ac:dyDescent="0.25">
      <c r="A11" s="6" t="s">
        <v>48</v>
      </c>
      <c r="B11" s="6" t="s">
        <v>49</v>
      </c>
      <c r="C11" s="6" t="s">
        <v>50</v>
      </c>
      <c r="D11" s="6"/>
      <c r="E11" s="6"/>
      <c r="F11" s="6"/>
      <c r="G11" s="6"/>
    </row>
    <row r="12" spans="1:7" x14ac:dyDescent="0.25">
      <c r="A12" s="6" t="s">
        <v>109</v>
      </c>
      <c r="B12" s="6" t="s">
        <v>110</v>
      </c>
      <c r="C12" s="6" t="s">
        <v>111</v>
      </c>
      <c r="D12" s="6"/>
      <c r="E12" s="6"/>
      <c r="F12" s="6"/>
      <c r="G12" s="6"/>
    </row>
    <row r="13" spans="1:7" x14ac:dyDescent="0.25">
      <c r="A13" s="6" t="s">
        <v>106</v>
      </c>
      <c r="B13" s="6" t="s">
        <v>107</v>
      </c>
      <c r="C13" s="6" t="s">
        <v>108</v>
      </c>
      <c r="D13" s="6"/>
      <c r="E13" s="6"/>
      <c r="F13" s="6"/>
      <c r="G13" s="6"/>
    </row>
    <row r="14" spans="1:7" x14ac:dyDescent="0.25">
      <c r="A14" s="6" t="s">
        <v>112</v>
      </c>
      <c r="B14" s="6" t="s">
        <v>113</v>
      </c>
      <c r="C14" s="6" t="s">
        <v>114</v>
      </c>
      <c r="D14" s="6"/>
      <c r="E14" s="6"/>
      <c r="F14" s="6"/>
      <c r="G14" s="6"/>
    </row>
    <row r="15" spans="1:7" x14ac:dyDescent="0.25">
      <c r="A15" s="6" t="s">
        <v>115</v>
      </c>
      <c r="B15" s="6" t="s">
        <v>116</v>
      </c>
      <c r="C15" s="6" t="s">
        <v>117</v>
      </c>
      <c r="D15" s="6"/>
      <c r="E15" s="6"/>
      <c r="F15" s="6"/>
      <c r="G15" s="6"/>
    </row>
    <row r="16" spans="1:7" x14ac:dyDescent="0.25">
      <c r="A16" s="6" t="s">
        <v>51</v>
      </c>
      <c r="B16" s="6" t="s">
        <v>52</v>
      </c>
      <c r="C16" s="6" t="s">
        <v>53</v>
      </c>
      <c r="D16" s="6"/>
      <c r="E16" s="6"/>
      <c r="F16" s="6"/>
      <c r="G16" s="6"/>
    </row>
    <row r="17" spans="1:7" x14ac:dyDescent="0.25">
      <c r="A17" s="6" t="s">
        <v>97</v>
      </c>
      <c r="B17" s="6" t="s">
        <v>98</v>
      </c>
      <c r="C17" s="6" t="s">
        <v>99</v>
      </c>
      <c r="D17" s="6"/>
      <c r="E17" s="6"/>
      <c r="F17" s="6"/>
      <c r="G17" s="6"/>
    </row>
    <row r="18" spans="1:7" x14ac:dyDescent="0.25">
      <c r="A18" s="6" t="s">
        <v>54</v>
      </c>
      <c r="B18" s="6" t="s">
        <v>55</v>
      </c>
      <c r="C18" s="6" t="s">
        <v>56</v>
      </c>
      <c r="D18" s="6"/>
      <c r="E18" s="6"/>
      <c r="F18" s="6"/>
      <c r="G18" s="6"/>
    </row>
    <row r="19" spans="1:7" x14ac:dyDescent="0.25">
      <c r="A19" s="6" t="s">
        <v>91</v>
      </c>
      <c r="B19" s="6" t="s">
        <v>93</v>
      </c>
      <c r="C19" s="6" t="s">
        <v>92</v>
      </c>
      <c r="D19" s="6"/>
      <c r="E19" s="6"/>
      <c r="F19" s="6"/>
      <c r="G19" s="6"/>
    </row>
    <row r="20" spans="1:7" x14ac:dyDescent="0.25">
      <c r="A20" s="6" t="s">
        <v>66</v>
      </c>
      <c r="B20" s="6" t="s">
        <v>67</v>
      </c>
      <c r="C20" s="6" t="s">
        <v>68</v>
      </c>
      <c r="D20" s="6"/>
      <c r="E20" s="6"/>
      <c r="F20" s="6"/>
      <c r="G20" s="6"/>
    </row>
    <row r="21" spans="1:7" x14ac:dyDescent="0.25">
      <c r="A21" s="6" t="s">
        <v>63</v>
      </c>
      <c r="B21" s="6" t="s">
        <v>64</v>
      </c>
      <c r="C21" s="6" t="s">
        <v>65</v>
      </c>
      <c r="D21" s="6"/>
      <c r="E21" s="6"/>
      <c r="F21" s="6"/>
      <c r="G21" s="6"/>
    </row>
    <row r="22" spans="1:7" x14ac:dyDescent="0.25">
      <c r="A22" s="6" t="s">
        <v>60</v>
      </c>
      <c r="B22" s="6" t="s">
        <v>61</v>
      </c>
      <c r="C22" s="6" t="s">
        <v>62</v>
      </c>
      <c r="D22" s="6"/>
      <c r="E22" s="6"/>
      <c r="F22" s="6"/>
      <c r="G22" s="6"/>
    </row>
    <row r="23" spans="1:7" x14ac:dyDescent="0.25">
      <c r="A23" s="6" t="s">
        <v>100</v>
      </c>
      <c r="B23" s="6" t="s">
        <v>101</v>
      </c>
      <c r="C23" s="6" t="s">
        <v>102</v>
      </c>
      <c r="D23" s="6"/>
      <c r="E23" s="6"/>
      <c r="F23" s="6"/>
      <c r="G23" s="6"/>
    </row>
    <row r="24" spans="1:7" x14ac:dyDescent="0.25">
      <c r="A24" s="6" t="s">
        <v>85</v>
      </c>
      <c r="B24" s="6" t="s">
        <v>86</v>
      </c>
      <c r="C24" s="6" t="s">
        <v>87</v>
      </c>
      <c r="D24" s="6"/>
      <c r="E24" s="6"/>
      <c r="F24" s="6"/>
      <c r="G24" s="6"/>
    </row>
    <row r="25" spans="1:7" x14ac:dyDescent="0.25">
      <c r="A25" s="6" t="s">
        <v>82</v>
      </c>
      <c r="B25" s="6" t="s">
        <v>83</v>
      </c>
      <c r="C25" s="6" t="s">
        <v>84</v>
      </c>
      <c r="D25" s="6"/>
      <c r="E25" s="6"/>
      <c r="F25" s="6"/>
      <c r="G25" s="6"/>
    </row>
    <row r="26" spans="1:7" x14ac:dyDescent="0.25">
      <c r="A26" s="6" t="s">
        <v>88</v>
      </c>
      <c r="B26" s="6" t="s">
        <v>89</v>
      </c>
      <c r="C26" s="6" t="s">
        <v>90</v>
      </c>
      <c r="D26" s="6"/>
      <c r="E26" s="6"/>
      <c r="F26" s="6"/>
      <c r="G26" s="6"/>
    </row>
    <row r="27" spans="1:7" x14ac:dyDescent="0.25">
      <c r="A27" s="6" t="s">
        <v>132</v>
      </c>
      <c r="B27" s="6" t="s">
        <v>133</v>
      </c>
      <c r="C27" s="6" t="s">
        <v>134</v>
      </c>
      <c r="D27" s="6"/>
      <c r="E27" s="6"/>
      <c r="F27" s="6"/>
      <c r="G27" s="6"/>
    </row>
    <row r="28" spans="1:7" x14ac:dyDescent="0.25">
      <c r="A28" s="6" t="s">
        <v>80</v>
      </c>
      <c r="B28" s="6" t="s">
        <v>81</v>
      </c>
      <c r="C28" s="6" t="s">
        <v>79</v>
      </c>
      <c r="D28" s="6"/>
      <c r="E28" s="6"/>
      <c r="F28" s="6"/>
      <c r="G28" s="6"/>
    </row>
    <row r="29" spans="1:7" x14ac:dyDescent="0.25">
      <c r="A29" s="6" t="s">
        <v>69</v>
      </c>
      <c r="B29" s="6" t="s">
        <v>70</v>
      </c>
      <c r="C29" s="6" t="s">
        <v>71</v>
      </c>
      <c r="D29" s="6"/>
      <c r="E29" s="6"/>
      <c r="F29" s="6"/>
      <c r="G29" s="6"/>
    </row>
    <row r="30" spans="1:7" x14ac:dyDescent="0.25">
      <c r="A30" s="6" t="s">
        <v>94</v>
      </c>
      <c r="B30" s="6" t="s">
        <v>95</v>
      </c>
      <c r="C30" s="6" t="s">
        <v>96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2026-03-24T14:59:36Z</dcterms:modified>
</cp:coreProperties>
</file>