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D5" i="1"/>
  <c r="A4" i="1" l="1"/>
  <c r="A5" i="1" s="1"/>
  <c r="D4" i="1" l="1"/>
  <c r="C4" i="1"/>
  <c r="D3" i="1"/>
  <c r="C3" i="1"/>
</calcChain>
</file>

<file path=xl/sharedStrings.xml><?xml version="1.0" encoding="utf-8"?>
<sst xmlns="http://schemas.openxmlformats.org/spreadsheetml/2006/main" count="172" uniqueCount="132">
  <si>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</si>
  <si>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</si>
  <si>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</si>
  <si>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</si>
  <si>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</si>
  <si>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</si>
  <si>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</si>
  <si>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</si>
  <si>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</si>
  <si>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</si>
  <si>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</si>
  <si>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</si>
  <si>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</si>
  <si>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</si>
  <si>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</si>
  <si>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</si>
  <si>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</si>
  <si>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</si>
  <si>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</si>
  <si>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</si>
  <si>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</si>
  <si>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</si>
  <si>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</si>
  <si>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</si>
  <si>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</si>
  <si>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</si>
  <si>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</si>
  <si>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</si>
  <si>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</si>
  <si>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</si>
  <si>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</si>
  <si>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</si>
  <si>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</si>
  <si>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</si>
  <si>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</si>
  <si>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</si>
  <si>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</si>
  <si>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</si>
  <si>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</si>
  <si>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</si>
  <si>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</si>
  <si>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</si>
  <si>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</si>
  <si>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</si>
  <si>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</si>
  <si>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</si>
  <si>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</si>
  <si>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</si>
  <si>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</si>
  <si>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</si>
  <si>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</si>
  <si>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</si>
  <si>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</si>
  <si>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</si>
  <si>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</si>
  <si>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</si>
  <si>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</si>
  <si>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</si>
  <si>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</si>
  <si>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</si>
  <si>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</si>
  <si>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</si>
  <si>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</si>
  <si>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</si>
  <si>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</si>
  <si>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</si>
  <si>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</si>
  <si>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</si>
  <si>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</si>
  <si>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</si>
  <si>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</si>
  <si>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</si>
  <si>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</si>
  <si>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</si>
  <si>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</si>
  <si>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</si>
  <si>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</si>
  <si>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</si>
  <si>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</si>
  <si>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</si>
  <si>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</si>
  <si>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</si>
  <si>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</si>
  <si>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</si>
  <si>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</si>
  <si>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</si>
  <si>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</si>
  <si>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</si>
  <si>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</si>
  <si>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</si>
  <si>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</si>
  <si>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</si>
  <si>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</si>
  <si>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</si>
  <si>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</si>
  <si>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</si>
  <si>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</si>
  <si>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</si>
  <si>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</si>
  <si>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</si>
  <si>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</si>
  <si>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</si>
  <si>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</si>
  <si>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</si>
  <si>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</si>
  <si>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</si>
  <si>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</si>
  <si>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</si>
  <si>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</si>
  <si>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</si>
  <si>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</si>
  <si>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</si>
  <si>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</si>
  <si>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</si>
  <si>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</si>
  <si>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</si>
  <si>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</si>
  <si>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</si>
  <si>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</si>
  <si>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</si>
  <si>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</si>
  <si>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Rua Visconde de Mauá S/Nº - Centro - CEP 69.005-430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</si>
  <si>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</si>
  <si>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</si>
  <si>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</si>
  <si>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</si>
  <si>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</si>
  <si>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</si>
  <si>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</si>
  <si>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</si>
  <si>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Nº</t>
  </si>
  <si>
    <t>Av. Compensa, 770 - Vila da Prata - CEP 69.035-575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</si>
</sst>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zoomScale="115" zoomScaleNormal="115" workbookViewId="0">
      <pane ySplit="2" topLeftCell="A3" activePane="bottomLeft" state="frozen"/>
      <selection pane="bottomLeft" activeCell="A14" sqref="A14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x14ac:dyDescent="0.2">
      <c r="A1" s="13" t="s">
        <v>127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1:17" s="2" customFormat="1" ht="25.5" customHeight="1" x14ac:dyDescent="0.25">
      <c r="A2" s="12" t="s">
        <v>130</v>
      </c>
      <c r="B2" s="12" t="s">
        <v>126</v>
      </c>
      <c r="C2" s="12" t="s">
        <v>38</v>
      </c>
      <c r="D2" s="12" t="s">
        <v>75</v>
      </c>
      <c r="E2" s="12" t="s">
        <v>0</v>
      </c>
      <c r="F2" s="12" t="s">
        <v>129</v>
      </c>
      <c r="G2" s="12" t="s">
        <v>9</v>
      </c>
      <c r="H2" s="12" t="s">
        <v>5</v>
      </c>
      <c r="I2" s="12" t="s">
        <v>3</v>
      </c>
      <c r="J2" s="12" t="s">
        <v>15</v>
      </c>
      <c r="K2" s="12" t="s">
        <v>6</v>
      </c>
      <c r="L2" s="12" t="s">
        <v>7</v>
      </c>
      <c r="M2" s="12" t="s">
        <v>8</v>
      </c>
      <c r="N2" s="12" t="s">
        <v>10</v>
      </c>
      <c r="O2" s="12" t="s">
        <v>11</v>
      </c>
      <c r="P2" s="12" t="s">
        <v>13</v>
      </c>
      <c r="Q2" s="12" t="s">
        <v>12</v>
      </c>
    </row>
    <row r="3" spans="1:17" x14ac:dyDescent="0.2">
      <c r="A3" s="11">
        <v>1</v>
      </c>
      <c r="B3" s="3" t="s">
        <v>57</v>
      </c>
      <c r="C3" s="3" t="str">
        <f>VLOOKUP(B3,Listas!A$3:C$30,3,0)</f>
        <v>Casa Militar</v>
      </c>
      <c r="D3" s="3" t="str">
        <f>VLOOKUP(B3,Listas!A$3:C$30,2,0)</f>
        <v>15101</v>
      </c>
      <c r="E3" s="10" t="s">
        <v>131</v>
      </c>
      <c r="F3" s="3" t="s">
        <v>128</v>
      </c>
      <c r="G3" s="3" t="s">
        <v>128</v>
      </c>
      <c r="H3" s="5" t="s">
        <v>128</v>
      </c>
      <c r="I3" s="5"/>
      <c r="J3" s="3" t="s">
        <v>128</v>
      </c>
      <c r="K3" s="9" t="s">
        <v>128</v>
      </c>
      <c r="L3" s="3" t="s">
        <v>128</v>
      </c>
      <c r="M3" s="3" t="s">
        <v>128</v>
      </c>
      <c r="N3" s="3" t="s">
        <v>128</v>
      </c>
      <c r="O3" s="3" t="s">
        <v>128</v>
      </c>
      <c r="P3" s="3" t="s">
        <v>128</v>
      </c>
      <c r="Q3" s="3" t="s">
        <v>128</v>
      </c>
    </row>
    <row r="4" spans="1:17" x14ac:dyDescent="0.2">
      <c r="A4" s="11">
        <f>A3+1</f>
        <v>2</v>
      </c>
      <c r="B4" s="3" t="s">
        <v>57</v>
      </c>
      <c r="C4" s="3" t="str">
        <f>VLOOKUP(B4,Listas!A$3:C$30,3,0)</f>
        <v>Casa Militar</v>
      </c>
      <c r="D4" s="3" t="str">
        <f>VLOOKUP(B4,Listas!A$3:C$30,2,0)</f>
        <v>15101</v>
      </c>
      <c r="E4" s="10" t="s">
        <v>131</v>
      </c>
      <c r="F4" s="3" t="s">
        <v>128</v>
      </c>
      <c r="G4" s="3" t="s">
        <v>128</v>
      </c>
      <c r="H4" s="5" t="s">
        <v>128</v>
      </c>
      <c r="I4" s="5"/>
      <c r="J4" s="3" t="s">
        <v>128</v>
      </c>
      <c r="K4" s="9" t="s">
        <v>128</v>
      </c>
      <c r="L4" s="3" t="s">
        <v>128</v>
      </c>
      <c r="M4" s="3" t="s">
        <v>128</v>
      </c>
      <c r="N4" s="3" t="s">
        <v>128</v>
      </c>
      <c r="O4" s="3" t="s">
        <v>128</v>
      </c>
      <c r="P4" s="3" t="s">
        <v>128</v>
      </c>
      <c r="Q4" s="3" t="s">
        <v>128</v>
      </c>
    </row>
    <row r="5" spans="1:17" x14ac:dyDescent="0.2">
      <c r="A5" s="11">
        <f t="shared" ref="A5" si="0">A4+1</f>
        <v>3</v>
      </c>
      <c r="B5" s="3" t="s">
        <v>57</v>
      </c>
      <c r="C5" s="3" t="str">
        <f>VLOOKUP(B5,Listas!A$3:C$30,3,0)</f>
        <v>Casa Militar</v>
      </c>
      <c r="D5" s="3" t="str">
        <f>VLOOKUP(B5,Listas!A$3:C$30,2,0)</f>
        <v>15101</v>
      </c>
      <c r="E5" s="10" t="s">
        <v>121</v>
      </c>
      <c r="F5" s="3" t="s">
        <v>128</v>
      </c>
      <c r="G5" s="3" t="s">
        <v>128</v>
      </c>
      <c r="H5" s="5" t="s">
        <v>128</v>
      </c>
      <c r="I5" s="5"/>
      <c r="J5" s="3" t="s">
        <v>128</v>
      </c>
      <c r="K5" s="9" t="s">
        <v>128</v>
      </c>
      <c r="L5" s="3" t="s">
        <v>128</v>
      </c>
      <c r="M5" s="3" t="s">
        <v>128</v>
      </c>
      <c r="N5" s="3" t="s">
        <v>128</v>
      </c>
      <c r="O5" s="3" t="s">
        <v>128</v>
      </c>
      <c r="P5" s="3" t="s">
        <v>128</v>
      </c>
      <c r="Q5" s="3" t="s">
        <v>128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G3:G5</xm:sqref>
        </x14:dataValidation>
        <x14:dataValidation type="list" allowBlank="1" showInputMessage="1" showErrorMessage="1">
          <x14:formula1>
            <xm:f>Listas!$D$3:$D$8</xm:f>
          </x14:formula1>
          <xm:sqref>F3:F5</xm:sqref>
        </x14:dataValidation>
        <x14:dataValidation type="list" allowBlank="1" showInputMessage="1" showErrorMessage="1">
          <x14:formula1>
            <xm:f>Listas!$A$3:$A$30</xm:f>
          </x14:formula1>
          <xm:sqref>B3:B5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122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128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128</v>
      </c>
      <c r="G8" s="6" t="s">
        <v>128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123</v>
      </c>
      <c r="B27" s="6" t="s">
        <v>124</v>
      </c>
      <c r="C27" s="6" t="s">
        <v>125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2026-03-24T14:57:11Z</dcterms:modified>
</cp:coreProperties>
</file>