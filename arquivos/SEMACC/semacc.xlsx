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69330727204\Documents\DPAT\imoveis\TCE\TCE\"/>
    </mc:Choice>
  </mc:AlternateContent>
  <bookViews>
    <workbookView xWindow="0" yWindow="0" windowWidth="28800" windowHeight="12300"/>
  </bookViews>
  <sheets>
    <sheet name="Bens Imóveis" sheetId="1" r:id="rId1"/>
    <sheet name="Listas" sheetId="2" r:id="rId2"/>
  </sheets>
  <definedNames>
    <definedName name="_xlnm._FilterDatabase" localSheetId="0" hidden="1">'Bens Imóveis'!$B$2:$Q$51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4" i="1"/>
  <c r="C3" i="1" l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</calcChain>
</file>

<file path=xl/sharedStrings.xml><?xml version="1.0" encoding="utf-8"?>
<sst xmlns="http://schemas.openxmlformats.org/spreadsheetml/2006/main" count="767" uniqueCount="181">
  <si>
    <t>ENDEREÇO</t>
  </si>
  <si>
    <t>ZONA</t>
  </si>
  <si>
    <t>CARTÓRIO</t>
  </si>
  <si>
    <t xml:space="preserve">EDIFICAÇÃO 
VALOR (R$) </t>
  </si>
  <si>
    <t>UG</t>
  </si>
  <si>
    <t>VALOR INICIAL DO BEM (R$)</t>
  </si>
  <si>
    <t>Nº AFETAÇÃO</t>
  </si>
  <si>
    <t>DOM AFETAÇÃO</t>
  </si>
  <si>
    <t>LEI DE AFETAÇÃO</t>
  </si>
  <si>
    <t>SITUAÇÃO DE USO</t>
  </si>
  <si>
    <t>ÁREA DO TERRENO (m²)</t>
  </si>
  <si>
    <t>ÁREA CONSTRUIDA (m²)</t>
  </si>
  <si>
    <t>DATA DO ÚLTIMO INVENTÁRIO</t>
  </si>
  <si>
    <t>DATA DE ENTRADA / INCORPORAÇÃO</t>
  </si>
  <si>
    <t>SITUAÇÃO USO</t>
  </si>
  <si>
    <t>Nº TOMBAMENTO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</si>
  <si>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</si>
  <si>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</si>
  <si>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</si>
  <si>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</si>
  <si>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</si>
  <si>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</si>
  <si>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</si>
  <si>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</si>
  <si>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</si>
  <si>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</si>
  <si>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</si>
  <si>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</si>
  <si>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</si>
  <si>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</si>
  <si>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</si>
  <si>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</si>
  <si>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</si>
  <si>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</si>
  <si>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</si>
  <si>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</si>
  <si>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</si>
  <si>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</si>
  <si>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</si>
  <si>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</si>
  <si>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</si>
  <si>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01101</t>
  </si>
  <si>
    <t>Câmara Municipal de Manaus</t>
  </si>
  <si>
    <t>CC</t>
  </si>
  <si>
    <t>11101</t>
  </si>
  <si>
    <t>Casa Civil</t>
  </si>
  <si>
    <t>CC-ERB</t>
  </si>
  <si>
    <t>11103</t>
  </si>
  <si>
    <t>GVP</t>
  </si>
  <si>
    <t>12101</t>
  </si>
  <si>
    <t>Gabinete do Vice-Prefeito</t>
  </si>
  <si>
    <t>PGM</t>
  </si>
  <si>
    <t>13101</t>
  </si>
  <si>
    <t>Procuradoria Geral do Municipio</t>
  </si>
  <si>
    <t>SEMAD</t>
  </si>
  <si>
    <t>14101</t>
  </si>
  <si>
    <t>Secretaria Municipal de Administração e Gestão</t>
  </si>
  <si>
    <t>CM</t>
  </si>
  <si>
    <t>15101</t>
  </si>
  <si>
    <t>Casa Militar</t>
  </si>
  <si>
    <t>SEMEF</t>
  </si>
  <si>
    <t>16101</t>
  </si>
  <si>
    <t xml:space="preserve"> Secretaria Municipal de Finanças, Planejamento e Tecnologia da Informação</t>
  </si>
  <si>
    <t>SEMED</t>
  </si>
  <si>
    <t>18101</t>
  </si>
  <si>
    <t>Secretaria Municipal de Educação</t>
  </si>
  <si>
    <t>SEMCOM</t>
  </si>
  <si>
    <t>19101</t>
  </si>
  <si>
    <t>Secretaria Municipal de Comunicação</t>
  </si>
  <si>
    <t>SEMTEPI</t>
  </si>
  <si>
    <t>21101</t>
  </si>
  <si>
    <t>Secretaria Municipal do Trabalho, Empreendedorismo e Inovação</t>
  </si>
  <si>
    <t>CGM</t>
  </si>
  <si>
    <t>22101</t>
  </si>
  <si>
    <t>Controladoria Geral do Municipio</t>
  </si>
  <si>
    <t>UNIDADE ORÇAMENTÁRIA</t>
  </si>
  <si>
    <t>FMS</t>
  </si>
  <si>
    <t>23701</t>
  </si>
  <si>
    <t>Fundo Municipal de Saúde</t>
  </si>
  <si>
    <t>Secretaria Municipal de Segurança Pública e Defesa Social</t>
  </si>
  <si>
    <t>SEMSEG</t>
  </si>
  <si>
    <t>25101</t>
  </si>
  <si>
    <t>SEMJEL</t>
  </si>
  <si>
    <t>26101</t>
  </si>
  <si>
    <t>Secretaria Municipal de Juventude, Esporte e Lazer</t>
  </si>
  <si>
    <t>SEMINF</t>
  </si>
  <si>
    <t>27101</t>
  </si>
  <si>
    <t>Secretaria Municipal de Infraestrutura</t>
  </si>
  <si>
    <t>SEMMAS</t>
  </si>
  <si>
    <t>28101</t>
  </si>
  <si>
    <t>Secretaria de Meio Ambiente e Sustentabilidade</t>
  </si>
  <si>
    <t>SEMASC</t>
  </si>
  <si>
    <t>Secretaria Municipal da Mulher, Assistência Social e Cidadania</t>
  </si>
  <si>
    <t>37101</t>
  </si>
  <si>
    <t>SEMULSP</t>
  </si>
  <si>
    <t>38101</t>
  </si>
  <si>
    <t>Secretaria Municipal de Limpeza Urbana</t>
  </si>
  <si>
    <t>SEMACC</t>
  </si>
  <si>
    <t>41101</t>
  </si>
  <si>
    <t>Secretaria Municipal de Agricultura, Abastecimento, Centro e Comércio Informal</t>
  </si>
  <si>
    <t>SEMHAF</t>
  </si>
  <si>
    <t>44101</t>
  </si>
  <si>
    <t>Secretaria Municipal de Habitação e Assuntos Fundiários</t>
  </si>
  <si>
    <t>FDT</t>
  </si>
  <si>
    <t>52301</t>
  </si>
  <si>
    <t>Fundação Doutor Thomas</t>
  </si>
  <si>
    <t>IMPLURB</t>
  </si>
  <si>
    <t>56201</t>
  </si>
  <si>
    <t>Instituto Municipal de Planejamento Urbano</t>
  </si>
  <si>
    <t>IMMU</t>
  </si>
  <si>
    <t>58201</t>
  </si>
  <si>
    <t>Instituto Municipal de Mobilidade Urbana</t>
  </si>
  <si>
    <t>MANAUSCULT</t>
  </si>
  <si>
    <t>62301</t>
  </si>
  <si>
    <t>Fundação Municipal de Cultura, Turismo e Eventos</t>
  </si>
  <si>
    <t>MANAUSPREV</t>
  </si>
  <si>
    <t>63201</t>
  </si>
  <si>
    <t>Manaus Previdência</t>
  </si>
  <si>
    <t>AGEMAN</t>
  </si>
  <si>
    <t>Agência Reguladora dos Serviços Públicos Delegados do Município de Manaus</t>
  </si>
  <si>
    <t>70201</t>
  </si>
  <si>
    <t xml:space="preserve">Av. Brasil, S/Nºº - Compensa - CEP 69.036-110 </t>
  </si>
  <si>
    <t xml:space="preserve">Av. H, S/Nºº - Conjunto Américo Medeiros - Cidade Nova - CEP 69.000-000 </t>
  </si>
  <si>
    <t>Rua Ágata Azul, S/Nº° - Residencial Viver Melhor - Lago Azul - CEP 69.018-608</t>
  </si>
  <si>
    <t xml:space="preserve">Rua Penetração III, S/Nºº - Amazonino Mendes - CEP 69.000-000 </t>
  </si>
  <si>
    <t>Av. Polivalente, S/Nºº - Japiim - ZONA Sul - CEP 69.078-260 - Manaus - AM</t>
  </si>
  <si>
    <t xml:space="preserve">Rua Barão de São Domingos, 268 - Centro - CEP 69.005-010 </t>
  </si>
  <si>
    <t xml:space="preserve">Av. J, S/Nºº - Alvorada II - CEP 69.000-000 </t>
  </si>
  <si>
    <t xml:space="preserve">Rua Pedro Botelho, S/Nº° - Centro - CEP 69.005-100 </t>
  </si>
  <si>
    <t xml:space="preserve">Av. Adalberto Vale, S/Nº° - Betânia - CEP 69.000-000 </t>
  </si>
  <si>
    <t xml:space="preserve">Av. São Pedro, S/Nºº - Compensa II - CEP 69.000-000 </t>
  </si>
  <si>
    <t xml:space="preserve">Av. Penetração, S/Nºº- Grande Vitória - CEP 69.000-000 </t>
  </si>
  <si>
    <t xml:space="preserve">Rua São Bento, S/Nºº - Glória - CEP 69.027-490 </t>
  </si>
  <si>
    <t xml:space="preserve">Rua Portugal, S/Nº° - Japiinlândia - CEP 69.000-000 </t>
  </si>
  <si>
    <t xml:space="preserve">Rua Maués, S/Nº° - Cachoeirinha - CEP 69.065-070 </t>
  </si>
  <si>
    <t xml:space="preserve">Rua Nova Esperança, S/Nº° - Colônia Antônio Aleixo - CEP 69.008-110 </t>
  </si>
  <si>
    <t xml:space="preserve">Rua Bento José de Lima, S/Nºº - Educandos - CEP 69.000-000 </t>
  </si>
  <si>
    <t xml:space="preserve">Rua Delfim de Souza, S/Nºº - Raiz - CEP 69.068-020 </t>
  </si>
  <si>
    <t xml:space="preserve">Rua Raimundo Soares, S/Nºº - São José II - CEP 69.000-000 </t>
  </si>
  <si>
    <t xml:space="preserve">Rua Perimetral, S/Nºº - Armando Mendes - CEP 69.089-340 </t>
  </si>
  <si>
    <t xml:space="preserve">Av. Esperança, S/Nºº - Bairro da Paz - CEP 69.000-000 </t>
  </si>
  <si>
    <t xml:space="preserve">Av. Rodrigo Otávio, S/Nºº - Japiim - CEP 69.000-000 </t>
  </si>
  <si>
    <t xml:space="preserve">Rua do Comércio, S/Nºº - Parque Dez - CEP 69.055-000 </t>
  </si>
  <si>
    <t xml:space="preserve">Rua Autaz Mirim, S/Nºº - Jorge Teixeira - CEP 69.088-245 </t>
  </si>
  <si>
    <t xml:space="preserve">Rua São José, S/Nºº - Santo Antônio - CEP 69.000-000 </t>
  </si>
  <si>
    <t xml:space="preserve">Rua 1º de Maio, S/Nºº - São Jorge - CEP 69.033-380 </t>
  </si>
  <si>
    <t xml:space="preserve">Rua DRua Odilon, S/Nº - Japiim - CEP 69.000-000 </t>
  </si>
  <si>
    <t xml:space="preserve">Rua Pedro Botelho, S/Nº - Centro - CEP 69.005-100 </t>
  </si>
  <si>
    <t xml:space="preserve">Rua Jardim Botânico, S/Nº - São Jorge - CEP 69.000-000 </t>
  </si>
  <si>
    <t xml:space="preserve">Rua 07, S/Nº - Alvorada I - CEP 69.000-000 </t>
  </si>
  <si>
    <t xml:space="preserve">Rua 07, S/Nº - Cidade Nova - CEP 69.000-000 </t>
  </si>
  <si>
    <t xml:space="preserve">Av. Margarita, 1601 - Cidade Nova - CEP 69.097-207 </t>
  </si>
  <si>
    <t xml:space="preserve">Rua Samambaia, S/Nº - Santa Etelvina - CEP 69.059-500 </t>
  </si>
  <si>
    <t xml:space="preserve">Rua Dos Bares, S/Nº - Centro - CEP 69.005-020 </t>
  </si>
  <si>
    <t xml:space="preserve">Rua São Benedito, S/Nºº - Morro da Liberdade - CEP 69.000-000 </t>
  </si>
  <si>
    <t xml:space="preserve">Av. Leopoldo Peres, S/Nºº - Educandos - CEP 69.000-000 </t>
  </si>
  <si>
    <t xml:space="preserve">Av. Brasil, 2470 - Compensa I -  CEP 69.036-110  </t>
  </si>
  <si>
    <t xml:space="preserve">Av. Carvalho Paes de Andrade, 140 - São Francisco - CEP 69.079-270 </t>
  </si>
  <si>
    <t xml:space="preserve">Rm. Pau Rosa, Km 15, 4 - BR 174 - Área Terrestre - CEP 69.000-000 </t>
  </si>
  <si>
    <t>R. Lima e Silva, 02 - Conjunto Mucuripe - Parque 10 de Novembro - CEP 69.055-717.</t>
  </si>
  <si>
    <t>R. Rafael Assayag (antiga Rua 5), S/N - Alvorada I - CEP 69.043-130.</t>
  </si>
  <si>
    <t>Av. Cosme Ferreira, 6.039 (Estrada do Aleixo, Km 5) - Coroado - CEP 69.082-230.</t>
  </si>
  <si>
    <t>Av. Sete de Setembro, S/N - Cachoeirinha - CEP 69.005-140.</t>
  </si>
  <si>
    <t>Av. Djalma Batista, 214 - Nossa Senhora das Graças - CEP 69.053-000.</t>
  </si>
  <si>
    <t>Av. Constantino Nery, S/N - Centro - CEP: 69.010-160.</t>
  </si>
  <si>
    <t>R. General Carneiro, S/N - Bairro: São Francisco - CEP 69.079-020.</t>
  </si>
  <si>
    <t>Av. Brigadeiro Hilário Gurjão, nº 779 - Jorge Teixeira - CEP 69.088-000.</t>
  </si>
  <si>
    <t>R. Emilio Moreira, S/N - Bairro: Praça 14 de Janeiro - 69.020-040.</t>
  </si>
  <si>
    <t>Escritório de Representação em Brasília</t>
  </si>
  <si>
    <t>SEMSA</t>
  </si>
  <si>
    <t>23000</t>
  </si>
  <si>
    <t>Secretaria Municipal de Saúde</t>
  </si>
  <si>
    <t>SIGLA UG</t>
  </si>
  <si>
    <t>Lei nº 3071, 15/06/2023</t>
  </si>
  <si>
    <t>004/2022</t>
  </si>
  <si>
    <t>007/2021</t>
  </si>
  <si>
    <t>009/2021</t>
  </si>
  <si>
    <t>BENS IMÓVEIS - PMM</t>
  </si>
  <si>
    <t>Em ajuste</t>
  </si>
  <si>
    <t>TIPO DE EDIFICAÇÃO</t>
  </si>
  <si>
    <t>Nº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</si>
</sst>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tabSelected="1" zoomScale="115" zoomScaleNormal="115" workbookViewId="0">
      <pane ySplit="2" topLeftCell="A34" activePane="bottomLeft" state="frozen"/>
      <selection pane="bottomLeft" activeCell="C58" sqref="C58"/>
    </sheetView>
  </sheetViews>
  <sheetFormatPr defaultRowHeight="12.75" x14ac:dyDescent="0.2"/>
  <cols>
    <col min="1" max="1" width="5" style="4" bestFit="1" customWidth="1"/>
    <col min="2" max="2" width="11.85546875" style="4" bestFit="1" customWidth="1"/>
    <col min="3" max="3" width="71.140625" style="4" customWidth="1"/>
    <col min="4" max="4" width="13.85546875" style="4" bestFit="1" customWidth="1"/>
    <col min="5" max="5" width="99" style="4" bestFit="1" customWidth="1"/>
    <col min="6" max="6" width="13.42578125" style="4" customWidth="1"/>
    <col min="7" max="7" width="15.7109375" style="4" customWidth="1"/>
    <col min="8" max="8" width="15.42578125" style="4" bestFit="1" customWidth="1"/>
    <col min="9" max="9" width="14.85546875" style="4" bestFit="1" customWidth="1"/>
    <col min="10" max="10" width="15.7109375" style="4" customWidth="1"/>
    <col min="11" max="11" width="11.85546875" style="4" bestFit="1" customWidth="1"/>
    <col min="12" max="12" width="15.7109375" style="4" customWidth="1"/>
    <col min="13" max="13" width="20.28515625" style="4" bestFit="1" customWidth="1"/>
    <col min="14" max="17" width="15.7109375" style="4" customWidth="1"/>
    <col min="18" max="16384" width="9.140625" style="4"/>
  </cols>
  <sheetData>
    <row r="1" spans="1:17" ht="15.75" customHeight="1" thickBot="1" x14ac:dyDescent="0.25">
      <c r="A1" s="16" t="s">
        <v>177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 s="2" customFormat="1" ht="25.5" customHeight="1" thickBot="1" x14ac:dyDescent="0.3">
      <c r="A2" s="9" t="s">
        <v>180</v>
      </c>
      <c r="B2" s="14" t="s">
        <v>172</v>
      </c>
      <c r="C2" s="10" t="s">
        <v>38</v>
      </c>
      <c r="D2" s="10" t="s">
        <v>75</v>
      </c>
      <c r="E2" s="10" t="s">
        <v>0</v>
      </c>
      <c r="F2" s="10" t="s">
        <v>179</v>
      </c>
      <c r="G2" s="10" t="s">
        <v>9</v>
      </c>
      <c r="H2" s="10" t="s">
        <v>5</v>
      </c>
      <c r="I2" s="10" t="s">
        <v>3</v>
      </c>
      <c r="J2" s="10" t="s">
        <v>15</v>
      </c>
      <c r="K2" s="10" t="s">
        <v>6</v>
      </c>
      <c r="L2" s="10" t="s">
        <v>7</v>
      </c>
      <c r="M2" s="10" t="s">
        <v>8</v>
      </c>
      <c r="N2" s="10" t="s">
        <v>10</v>
      </c>
      <c r="O2" s="10" t="s">
        <v>11</v>
      </c>
      <c r="P2" s="10" t="s">
        <v>13</v>
      </c>
      <c r="Q2" s="11" t="s">
        <v>12</v>
      </c>
    </row>
    <row r="3" spans="1:17" x14ac:dyDescent="0.2">
      <c r="A3" s="15">
        <v>1</v>
      </c>
      <c r="B3" s="3" t="s">
        <v>97</v>
      </c>
      <c r="C3" s="3" t="str">
        <f>VLOOKUP(B3,Listas!A$3:C$30,3,0)</f>
        <v>Secretaria Municipal de Agricultura, Abastecimento, Centro e Comércio Informal</v>
      </c>
      <c r="D3" s="3" t="str">
        <f>VLOOKUP(B3,Listas!A$3:C$30,2,0)</f>
        <v>41101</v>
      </c>
      <c r="E3" s="13" t="s">
        <v>121</v>
      </c>
      <c r="F3" s="3" t="s">
        <v>178</v>
      </c>
      <c r="G3" s="3" t="s">
        <v>178</v>
      </c>
      <c r="H3" s="5" t="s">
        <v>178</v>
      </c>
      <c r="I3" s="5"/>
      <c r="J3" s="3" t="s">
        <v>178</v>
      </c>
      <c r="K3" s="12" t="s">
        <v>178</v>
      </c>
      <c r="L3" s="3" t="s">
        <v>178</v>
      </c>
      <c r="M3" s="3" t="s">
        <v>178</v>
      </c>
      <c r="N3" s="3" t="s">
        <v>178</v>
      </c>
      <c r="O3" s="3" t="s">
        <v>178</v>
      </c>
      <c r="P3" s="3" t="s">
        <v>178</v>
      </c>
      <c r="Q3" s="3" t="s">
        <v>178</v>
      </c>
    </row>
    <row r="4" spans="1:17" x14ac:dyDescent="0.2">
      <c r="A4" s="15">
        <f>A3+1</f>
        <v>2</v>
      </c>
      <c r="B4" s="3" t="s">
        <v>97</v>
      </c>
      <c r="C4" s="3" t="str">
        <f>VLOOKUP(B4,Listas!A$3:C$30,3,0)</f>
        <v>Secretaria Municipal de Agricultura, Abastecimento, Centro e Comércio Informal</v>
      </c>
      <c r="D4" s="3" t="str">
        <f>VLOOKUP(B4,Listas!A$3:C$30,2,0)</f>
        <v>41101</v>
      </c>
      <c r="E4" s="13" t="s">
        <v>122</v>
      </c>
      <c r="F4" s="3" t="s">
        <v>178</v>
      </c>
      <c r="G4" s="3" t="s">
        <v>178</v>
      </c>
      <c r="H4" s="5" t="s">
        <v>178</v>
      </c>
      <c r="I4" s="5"/>
      <c r="J4" s="3" t="s">
        <v>178</v>
      </c>
      <c r="K4" s="12" t="s">
        <v>178</v>
      </c>
      <c r="L4" s="3" t="s">
        <v>178</v>
      </c>
      <c r="M4" s="3" t="s">
        <v>178</v>
      </c>
      <c r="N4" s="3" t="s">
        <v>178</v>
      </c>
      <c r="O4" s="3" t="s">
        <v>178</v>
      </c>
      <c r="P4" s="3" t="s">
        <v>178</v>
      </c>
      <c r="Q4" s="3" t="s">
        <v>178</v>
      </c>
    </row>
    <row r="5" spans="1:17" x14ac:dyDescent="0.2">
      <c r="A5" s="15">
        <f t="shared" ref="A5:A51" si="0">A4+1</f>
        <v>3</v>
      </c>
      <c r="B5" s="3" t="s">
        <v>97</v>
      </c>
      <c r="C5" s="3" t="str">
        <f>VLOOKUP(B5,Listas!A$3:C$30,3,0)</f>
        <v>Secretaria Municipal de Agricultura, Abastecimento, Centro e Comércio Informal</v>
      </c>
      <c r="D5" s="3" t="str">
        <f>VLOOKUP(B5,Listas!A$3:C$30,2,0)</f>
        <v>41101</v>
      </c>
      <c r="E5" s="13" t="s">
        <v>123</v>
      </c>
      <c r="F5" s="3" t="s">
        <v>178</v>
      </c>
      <c r="G5" s="3" t="s">
        <v>178</v>
      </c>
      <c r="H5" s="5" t="s">
        <v>178</v>
      </c>
      <c r="I5" s="5"/>
      <c r="J5" s="3" t="s">
        <v>178</v>
      </c>
      <c r="K5" s="12" t="s">
        <v>178</v>
      </c>
      <c r="L5" s="3" t="s">
        <v>178</v>
      </c>
      <c r="M5" s="3" t="s">
        <v>178</v>
      </c>
      <c r="N5" s="3" t="s">
        <v>178</v>
      </c>
      <c r="O5" s="3" t="s">
        <v>178</v>
      </c>
      <c r="P5" s="3" t="s">
        <v>178</v>
      </c>
      <c r="Q5" s="3" t="s">
        <v>178</v>
      </c>
    </row>
    <row r="6" spans="1:17" x14ac:dyDescent="0.2">
      <c r="A6" s="15">
        <f t="shared" si="0"/>
        <v>4</v>
      </c>
      <c r="B6" s="3" t="s">
        <v>97</v>
      </c>
      <c r="C6" s="3" t="str">
        <f>VLOOKUP(B6,Listas!A$3:C$30,3,0)</f>
        <v>Secretaria Municipal de Agricultura, Abastecimento, Centro e Comércio Informal</v>
      </c>
      <c r="D6" s="3" t="str">
        <f>VLOOKUP(B6,Listas!A$3:C$30,2,0)</f>
        <v>41101</v>
      </c>
      <c r="E6" s="13" t="s">
        <v>124</v>
      </c>
      <c r="F6" s="3" t="s">
        <v>178</v>
      </c>
      <c r="G6" s="3" t="s">
        <v>178</v>
      </c>
      <c r="H6" s="5" t="s">
        <v>178</v>
      </c>
      <c r="I6" s="5"/>
      <c r="J6" s="3" t="s">
        <v>178</v>
      </c>
      <c r="K6" s="12" t="s">
        <v>178</v>
      </c>
      <c r="L6" s="3" t="s">
        <v>178</v>
      </c>
      <c r="M6" s="3" t="s">
        <v>178</v>
      </c>
      <c r="N6" s="3" t="s">
        <v>178</v>
      </c>
      <c r="O6" s="3" t="s">
        <v>178</v>
      </c>
      <c r="P6" s="3" t="s">
        <v>178</v>
      </c>
      <c r="Q6" s="3" t="s">
        <v>178</v>
      </c>
    </row>
    <row r="7" spans="1:17" x14ac:dyDescent="0.2">
      <c r="A7" s="15">
        <f t="shared" si="0"/>
        <v>5</v>
      </c>
      <c r="B7" s="3" t="s">
        <v>97</v>
      </c>
      <c r="C7" s="3" t="str">
        <f>VLOOKUP(B7,Listas!A$3:C$30,3,0)</f>
        <v>Secretaria Municipal de Agricultura, Abastecimento, Centro e Comércio Informal</v>
      </c>
      <c r="D7" s="3" t="str">
        <f>VLOOKUP(B7,Listas!A$3:C$30,2,0)</f>
        <v>41101</v>
      </c>
      <c r="E7" s="13" t="s">
        <v>125</v>
      </c>
      <c r="F7" s="3" t="s">
        <v>178</v>
      </c>
      <c r="G7" s="3" t="s">
        <v>178</v>
      </c>
      <c r="H7" s="5" t="s">
        <v>178</v>
      </c>
      <c r="I7" s="5"/>
      <c r="J7" s="3" t="s">
        <v>178</v>
      </c>
      <c r="K7" s="12" t="s">
        <v>178</v>
      </c>
      <c r="L7" s="3" t="s">
        <v>178</v>
      </c>
      <c r="M7" s="3" t="s">
        <v>178</v>
      </c>
      <c r="N7" s="3" t="s">
        <v>178</v>
      </c>
      <c r="O7" s="3" t="s">
        <v>178</v>
      </c>
      <c r="P7" s="3" t="s">
        <v>178</v>
      </c>
      <c r="Q7" s="3" t="s">
        <v>178</v>
      </c>
    </row>
    <row r="8" spans="1:17" x14ac:dyDescent="0.2">
      <c r="A8" s="15">
        <f t="shared" si="0"/>
        <v>6</v>
      </c>
      <c r="B8" s="3" t="s">
        <v>97</v>
      </c>
      <c r="C8" s="3" t="str">
        <f>VLOOKUP(B8,Listas!A$3:C$30,3,0)</f>
        <v>Secretaria Municipal de Agricultura, Abastecimento, Centro e Comércio Informal</v>
      </c>
      <c r="D8" s="3" t="str">
        <f>VLOOKUP(B8,Listas!A$3:C$30,2,0)</f>
        <v>41101</v>
      </c>
      <c r="E8" s="13" t="s">
        <v>126</v>
      </c>
      <c r="F8" s="3" t="s">
        <v>178</v>
      </c>
      <c r="G8" s="3" t="s">
        <v>178</v>
      </c>
      <c r="H8" s="5" t="s">
        <v>178</v>
      </c>
      <c r="I8" s="5"/>
      <c r="J8" s="3" t="s">
        <v>178</v>
      </c>
      <c r="K8" s="12" t="s">
        <v>178</v>
      </c>
      <c r="L8" s="3" t="s">
        <v>178</v>
      </c>
      <c r="M8" s="3" t="s">
        <v>178</v>
      </c>
      <c r="N8" s="3" t="s">
        <v>178</v>
      </c>
      <c r="O8" s="3" t="s">
        <v>178</v>
      </c>
      <c r="P8" s="3" t="s">
        <v>178</v>
      </c>
      <c r="Q8" s="3" t="s">
        <v>178</v>
      </c>
    </row>
    <row r="9" spans="1:17" x14ac:dyDescent="0.2">
      <c r="A9" s="15">
        <f t="shared" si="0"/>
        <v>7</v>
      </c>
      <c r="B9" s="3" t="s">
        <v>97</v>
      </c>
      <c r="C9" s="3" t="str">
        <f>VLOOKUP(B9,Listas!A$3:C$30,3,0)</f>
        <v>Secretaria Municipal de Agricultura, Abastecimento, Centro e Comércio Informal</v>
      </c>
      <c r="D9" s="3" t="str">
        <f>VLOOKUP(B9,Listas!A$3:C$30,2,0)</f>
        <v>41101</v>
      </c>
      <c r="E9" s="13" t="s">
        <v>127</v>
      </c>
      <c r="F9" s="3" t="s">
        <v>178</v>
      </c>
      <c r="G9" s="3" t="s">
        <v>178</v>
      </c>
      <c r="H9" s="5" t="s">
        <v>178</v>
      </c>
      <c r="I9" s="5"/>
      <c r="J9" s="3" t="s">
        <v>178</v>
      </c>
      <c r="K9" s="12" t="s">
        <v>178</v>
      </c>
      <c r="L9" s="3" t="s">
        <v>178</v>
      </c>
      <c r="M9" s="3" t="s">
        <v>178</v>
      </c>
      <c r="N9" s="3" t="s">
        <v>178</v>
      </c>
      <c r="O9" s="3" t="s">
        <v>178</v>
      </c>
      <c r="P9" s="3" t="s">
        <v>178</v>
      </c>
      <c r="Q9" s="3" t="s">
        <v>178</v>
      </c>
    </row>
    <row r="10" spans="1:17" x14ac:dyDescent="0.2">
      <c r="A10" s="15">
        <f t="shared" si="0"/>
        <v>8</v>
      </c>
      <c r="B10" s="3" t="s">
        <v>97</v>
      </c>
      <c r="C10" s="3" t="str">
        <f>VLOOKUP(B10,Listas!A$3:C$30,3,0)</f>
        <v>Secretaria Municipal de Agricultura, Abastecimento, Centro e Comércio Informal</v>
      </c>
      <c r="D10" s="3" t="str">
        <f>VLOOKUP(B10,Listas!A$3:C$30,2,0)</f>
        <v>41101</v>
      </c>
      <c r="E10" s="13" t="s">
        <v>128</v>
      </c>
      <c r="F10" s="3" t="s">
        <v>178</v>
      </c>
      <c r="G10" s="3" t="s">
        <v>178</v>
      </c>
      <c r="H10" s="5" t="s">
        <v>178</v>
      </c>
      <c r="I10" s="5"/>
      <c r="J10" s="3" t="s">
        <v>178</v>
      </c>
      <c r="K10" s="12" t="s">
        <v>178</v>
      </c>
      <c r="L10" s="3" t="s">
        <v>178</v>
      </c>
      <c r="M10" s="3" t="s">
        <v>178</v>
      </c>
      <c r="N10" s="3" t="s">
        <v>178</v>
      </c>
      <c r="O10" s="3" t="s">
        <v>178</v>
      </c>
      <c r="P10" s="3" t="s">
        <v>178</v>
      </c>
      <c r="Q10" s="3" t="s">
        <v>178</v>
      </c>
    </row>
    <row r="11" spans="1:17" x14ac:dyDescent="0.2">
      <c r="A11" s="15">
        <f t="shared" si="0"/>
        <v>9</v>
      </c>
      <c r="B11" s="3" t="s">
        <v>97</v>
      </c>
      <c r="C11" s="3" t="str">
        <f>VLOOKUP(B11,Listas!A$3:C$30,3,0)</f>
        <v>Secretaria Municipal de Agricultura, Abastecimento, Centro e Comércio Informal</v>
      </c>
      <c r="D11" s="3" t="str">
        <f>VLOOKUP(B11,Listas!A$3:C$30,2,0)</f>
        <v>41101</v>
      </c>
      <c r="E11" s="13" t="s">
        <v>129</v>
      </c>
      <c r="F11" s="3" t="s">
        <v>178</v>
      </c>
      <c r="G11" s="3" t="s">
        <v>178</v>
      </c>
      <c r="H11" s="5" t="s">
        <v>178</v>
      </c>
      <c r="I11" s="5"/>
      <c r="J11" s="3" t="s">
        <v>178</v>
      </c>
      <c r="K11" s="12" t="s">
        <v>178</v>
      </c>
      <c r="L11" s="3" t="s">
        <v>178</v>
      </c>
      <c r="M11" s="3" t="s">
        <v>178</v>
      </c>
      <c r="N11" s="3" t="s">
        <v>178</v>
      </c>
      <c r="O11" s="3" t="s">
        <v>178</v>
      </c>
      <c r="P11" s="3" t="s">
        <v>178</v>
      </c>
      <c r="Q11" s="3" t="s">
        <v>178</v>
      </c>
    </row>
    <row r="12" spans="1:17" x14ac:dyDescent="0.2">
      <c r="A12" s="15">
        <f t="shared" si="0"/>
        <v>10</v>
      </c>
      <c r="B12" s="3" t="s">
        <v>97</v>
      </c>
      <c r="C12" s="3" t="str">
        <f>VLOOKUP(B12,Listas!A$3:C$30,3,0)</f>
        <v>Secretaria Municipal de Agricultura, Abastecimento, Centro e Comércio Informal</v>
      </c>
      <c r="D12" s="3" t="str">
        <f>VLOOKUP(B12,Listas!A$3:C$30,2,0)</f>
        <v>41101</v>
      </c>
      <c r="E12" s="13" t="s">
        <v>130</v>
      </c>
      <c r="F12" s="3" t="s">
        <v>178</v>
      </c>
      <c r="G12" s="3" t="s">
        <v>178</v>
      </c>
      <c r="H12" s="5" t="s">
        <v>178</v>
      </c>
      <c r="I12" s="5"/>
      <c r="J12" s="3" t="s">
        <v>178</v>
      </c>
      <c r="K12" s="12" t="s">
        <v>178</v>
      </c>
      <c r="L12" s="3" t="s">
        <v>178</v>
      </c>
      <c r="M12" s="3" t="s">
        <v>178</v>
      </c>
      <c r="N12" s="3" t="s">
        <v>178</v>
      </c>
      <c r="O12" s="3" t="s">
        <v>178</v>
      </c>
      <c r="P12" s="3" t="s">
        <v>178</v>
      </c>
      <c r="Q12" s="3" t="s">
        <v>178</v>
      </c>
    </row>
    <row r="13" spans="1:17" x14ac:dyDescent="0.2">
      <c r="A13" s="15">
        <f t="shared" si="0"/>
        <v>11</v>
      </c>
      <c r="B13" s="3" t="s">
        <v>97</v>
      </c>
      <c r="C13" s="3" t="str">
        <f>VLOOKUP(B13,Listas!A$3:C$30,3,0)</f>
        <v>Secretaria Municipal de Agricultura, Abastecimento, Centro e Comércio Informal</v>
      </c>
      <c r="D13" s="3" t="str">
        <f>VLOOKUP(B13,Listas!A$3:C$30,2,0)</f>
        <v>41101</v>
      </c>
      <c r="E13" s="13" t="s">
        <v>131</v>
      </c>
      <c r="F13" s="3" t="s">
        <v>178</v>
      </c>
      <c r="G13" s="3" t="s">
        <v>178</v>
      </c>
      <c r="H13" s="5" t="s">
        <v>178</v>
      </c>
      <c r="I13" s="5"/>
      <c r="J13" s="3" t="s">
        <v>178</v>
      </c>
      <c r="K13" s="12" t="s">
        <v>178</v>
      </c>
      <c r="L13" s="3" t="s">
        <v>178</v>
      </c>
      <c r="M13" s="3" t="s">
        <v>178</v>
      </c>
      <c r="N13" s="3" t="s">
        <v>178</v>
      </c>
      <c r="O13" s="3" t="s">
        <v>178</v>
      </c>
      <c r="P13" s="3" t="s">
        <v>178</v>
      </c>
      <c r="Q13" s="3" t="s">
        <v>178</v>
      </c>
    </row>
    <row r="14" spans="1:17" x14ac:dyDescent="0.2">
      <c r="A14" s="15">
        <f t="shared" si="0"/>
        <v>12</v>
      </c>
      <c r="B14" s="3" t="s">
        <v>97</v>
      </c>
      <c r="C14" s="3" t="str">
        <f>VLOOKUP(B14,Listas!A$3:C$30,3,0)</f>
        <v>Secretaria Municipal de Agricultura, Abastecimento, Centro e Comércio Informal</v>
      </c>
      <c r="D14" s="3" t="str">
        <f>VLOOKUP(B14,Listas!A$3:C$30,2,0)</f>
        <v>41101</v>
      </c>
      <c r="E14" s="13" t="s">
        <v>132</v>
      </c>
      <c r="F14" s="3" t="s">
        <v>178</v>
      </c>
      <c r="G14" s="3" t="s">
        <v>178</v>
      </c>
      <c r="H14" s="5" t="s">
        <v>178</v>
      </c>
      <c r="I14" s="5"/>
      <c r="J14" s="3" t="s">
        <v>178</v>
      </c>
      <c r="K14" s="12" t="s">
        <v>178</v>
      </c>
      <c r="L14" s="3" t="s">
        <v>178</v>
      </c>
      <c r="M14" s="3" t="s">
        <v>178</v>
      </c>
      <c r="N14" s="3" t="s">
        <v>178</v>
      </c>
      <c r="O14" s="3" t="s">
        <v>178</v>
      </c>
      <c r="P14" s="3" t="s">
        <v>178</v>
      </c>
      <c r="Q14" s="3" t="s">
        <v>178</v>
      </c>
    </row>
    <row r="15" spans="1:17" x14ac:dyDescent="0.2">
      <c r="A15" s="15">
        <f t="shared" si="0"/>
        <v>13</v>
      </c>
      <c r="B15" s="3" t="s">
        <v>97</v>
      </c>
      <c r="C15" s="3" t="str">
        <f>VLOOKUP(B15,Listas!A$3:C$30,3,0)</f>
        <v>Secretaria Municipal de Agricultura, Abastecimento, Centro e Comércio Informal</v>
      </c>
      <c r="D15" s="3" t="str">
        <f>VLOOKUP(B15,Listas!A$3:C$30,2,0)</f>
        <v>41101</v>
      </c>
      <c r="E15" s="13" t="s">
        <v>133</v>
      </c>
      <c r="F15" s="3" t="s">
        <v>178</v>
      </c>
      <c r="G15" s="3" t="s">
        <v>178</v>
      </c>
      <c r="H15" s="5" t="s">
        <v>178</v>
      </c>
      <c r="I15" s="5"/>
      <c r="J15" s="3" t="s">
        <v>178</v>
      </c>
      <c r="K15" s="12" t="s">
        <v>178</v>
      </c>
      <c r="L15" s="3" t="s">
        <v>178</v>
      </c>
      <c r="M15" s="3" t="s">
        <v>178</v>
      </c>
      <c r="N15" s="3" t="s">
        <v>178</v>
      </c>
      <c r="O15" s="3" t="s">
        <v>178</v>
      </c>
      <c r="P15" s="3" t="s">
        <v>178</v>
      </c>
      <c r="Q15" s="3" t="s">
        <v>178</v>
      </c>
    </row>
    <row r="16" spans="1:17" x14ac:dyDescent="0.2">
      <c r="A16" s="15">
        <f t="shared" si="0"/>
        <v>14</v>
      </c>
      <c r="B16" s="3" t="s">
        <v>97</v>
      </c>
      <c r="C16" s="3" t="str">
        <f>VLOOKUP(B16,Listas!A$3:C$30,3,0)</f>
        <v>Secretaria Municipal de Agricultura, Abastecimento, Centro e Comércio Informal</v>
      </c>
      <c r="D16" s="3" t="str">
        <f>VLOOKUP(B16,Listas!A$3:C$30,2,0)</f>
        <v>41101</v>
      </c>
      <c r="E16" s="13" t="s">
        <v>134</v>
      </c>
      <c r="F16" s="3" t="s">
        <v>178</v>
      </c>
      <c r="G16" s="3" t="s">
        <v>178</v>
      </c>
      <c r="H16" s="5" t="s">
        <v>178</v>
      </c>
      <c r="I16" s="5"/>
      <c r="J16" s="3" t="s">
        <v>178</v>
      </c>
      <c r="K16" s="12" t="s">
        <v>178</v>
      </c>
      <c r="L16" s="3" t="s">
        <v>178</v>
      </c>
      <c r="M16" s="3" t="s">
        <v>178</v>
      </c>
      <c r="N16" s="3" t="s">
        <v>178</v>
      </c>
      <c r="O16" s="3" t="s">
        <v>178</v>
      </c>
      <c r="P16" s="3" t="s">
        <v>178</v>
      </c>
      <c r="Q16" s="3" t="s">
        <v>178</v>
      </c>
    </row>
    <row r="17" spans="1:17" x14ac:dyDescent="0.2">
      <c r="A17" s="15">
        <f t="shared" si="0"/>
        <v>15</v>
      </c>
      <c r="B17" s="3" t="s">
        <v>97</v>
      </c>
      <c r="C17" s="3" t="str">
        <f>VLOOKUP(B17,Listas!A$3:C$30,3,0)</f>
        <v>Secretaria Municipal de Agricultura, Abastecimento, Centro e Comércio Informal</v>
      </c>
      <c r="D17" s="3" t="str">
        <f>VLOOKUP(B17,Listas!A$3:C$30,2,0)</f>
        <v>41101</v>
      </c>
      <c r="E17" s="13" t="s">
        <v>135</v>
      </c>
      <c r="F17" s="3" t="s">
        <v>178</v>
      </c>
      <c r="G17" s="3" t="s">
        <v>178</v>
      </c>
      <c r="H17" s="5" t="s">
        <v>178</v>
      </c>
      <c r="I17" s="5"/>
      <c r="J17" s="3" t="s">
        <v>178</v>
      </c>
      <c r="K17" s="12" t="s">
        <v>178</v>
      </c>
      <c r="L17" s="3" t="s">
        <v>178</v>
      </c>
      <c r="M17" s="3" t="s">
        <v>178</v>
      </c>
      <c r="N17" s="3" t="s">
        <v>178</v>
      </c>
      <c r="O17" s="3" t="s">
        <v>178</v>
      </c>
      <c r="P17" s="3" t="s">
        <v>178</v>
      </c>
      <c r="Q17" s="3" t="s">
        <v>178</v>
      </c>
    </row>
    <row r="18" spans="1:17" x14ac:dyDescent="0.2">
      <c r="A18" s="15">
        <f t="shared" si="0"/>
        <v>16</v>
      </c>
      <c r="B18" s="3" t="s">
        <v>97</v>
      </c>
      <c r="C18" s="3" t="str">
        <f>VLOOKUP(B18,Listas!A$3:C$30,3,0)</f>
        <v>Secretaria Municipal de Agricultura, Abastecimento, Centro e Comércio Informal</v>
      </c>
      <c r="D18" s="3" t="str">
        <f>VLOOKUP(B18,Listas!A$3:C$30,2,0)</f>
        <v>41101</v>
      </c>
      <c r="E18" s="13" t="s">
        <v>136</v>
      </c>
      <c r="F18" s="3" t="s">
        <v>178</v>
      </c>
      <c r="G18" s="3" t="s">
        <v>178</v>
      </c>
      <c r="H18" s="5" t="s">
        <v>178</v>
      </c>
      <c r="I18" s="5"/>
      <c r="J18" s="3" t="s">
        <v>178</v>
      </c>
      <c r="K18" s="12" t="s">
        <v>178</v>
      </c>
      <c r="L18" s="3" t="s">
        <v>178</v>
      </c>
      <c r="M18" s="3" t="s">
        <v>178</v>
      </c>
      <c r="N18" s="3" t="s">
        <v>178</v>
      </c>
      <c r="O18" s="3" t="s">
        <v>178</v>
      </c>
      <c r="P18" s="3" t="s">
        <v>178</v>
      </c>
      <c r="Q18" s="3" t="s">
        <v>178</v>
      </c>
    </row>
    <row r="19" spans="1:17" x14ac:dyDescent="0.2">
      <c r="A19" s="15">
        <f t="shared" si="0"/>
        <v>17</v>
      </c>
      <c r="B19" s="3" t="s">
        <v>97</v>
      </c>
      <c r="C19" s="3" t="str">
        <f>VLOOKUP(B19,Listas!A$3:C$30,3,0)</f>
        <v>Secretaria Municipal de Agricultura, Abastecimento, Centro e Comércio Informal</v>
      </c>
      <c r="D19" s="3" t="str">
        <f>VLOOKUP(B19,Listas!A$3:C$30,2,0)</f>
        <v>41101</v>
      </c>
      <c r="E19" s="13" t="s">
        <v>137</v>
      </c>
      <c r="F19" s="3" t="s">
        <v>178</v>
      </c>
      <c r="G19" s="3" t="s">
        <v>178</v>
      </c>
      <c r="H19" s="5" t="s">
        <v>178</v>
      </c>
      <c r="I19" s="5"/>
      <c r="J19" s="3" t="s">
        <v>178</v>
      </c>
      <c r="K19" s="12" t="s">
        <v>178</v>
      </c>
      <c r="L19" s="3" t="s">
        <v>178</v>
      </c>
      <c r="M19" s="3" t="s">
        <v>178</v>
      </c>
      <c r="N19" s="3" t="s">
        <v>178</v>
      </c>
      <c r="O19" s="3" t="s">
        <v>178</v>
      </c>
      <c r="P19" s="3" t="s">
        <v>178</v>
      </c>
      <c r="Q19" s="3" t="s">
        <v>178</v>
      </c>
    </row>
    <row r="20" spans="1:17" x14ac:dyDescent="0.2">
      <c r="A20" s="15">
        <f t="shared" si="0"/>
        <v>18</v>
      </c>
      <c r="B20" s="3" t="s">
        <v>97</v>
      </c>
      <c r="C20" s="3" t="str">
        <f>VLOOKUP(B20,Listas!A$3:C$30,3,0)</f>
        <v>Secretaria Municipal de Agricultura, Abastecimento, Centro e Comércio Informal</v>
      </c>
      <c r="D20" s="3" t="str">
        <f>VLOOKUP(B20,Listas!A$3:C$30,2,0)</f>
        <v>41101</v>
      </c>
      <c r="E20" s="13" t="s">
        <v>138</v>
      </c>
      <c r="F20" s="3" t="s">
        <v>178</v>
      </c>
      <c r="G20" s="3" t="s">
        <v>178</v>
      </c>
      <c r="H20" s="5" t="s">
        <v>178</v>
      </c>
      <c r="I20" s="5"/>
      <c r="J20" s="3" t="s">
        <v>178</v>
      </c>
      <c r="K20" s="12" t="s">
        <v>178</v>
      </c>
      <c r="L20" s="3" t="s">
        <v>178</v>
      </c>
      <c r="M20" s="3" t="s">
        <v>178</v>
      </c>
      <c r="N20" s="3" t="s">
        <v>178</v>
      </c>
      <c r="O20" s="3" t="s">
        <v>178</v>
      </c>
      <c r="P20" s="3" t="s">
        <v>178</v>
      </c>
      <c r="Q20" s="3" t="s">
        <v>178</v>
      </c>
    </row>
    <row r="21" spans="1:17" x14ac:dyDescent="0.2">
      <c r="A21" s="15">
        <f t="shared" si="0"/>
        <v>19</v>
      </c>
      <c r="B21" s="3" t="s">
        <v>97</v>
      </c>
      <c r="C21" s="3" t="str">
        <f>VLOOKUP(B21,Listas!A$3:C$30,3,0)</f>
        <v>Secretaria Municipal de Agricultura, Abastecimento, Centro e Comércio Informal</v>
      </c>
      <c r="D21" s="3" t="str">
        <f>VLOOKUP(B21,Listas!A$3:C$30,2,0)</f>
        <v>41101</v>
      </c>
      <c r="E21" s="13" t="s">
        <v>139</v>
      </c>
      <c r="F21" s="3" t="s">
        <v>178</v>
      </c>
      <c r="G21" s="3" t="s">
        <v>178</v>
      </c>
      <c r="H21" s="5" t="s">
        <v>178</v>
      </c>
      <c r="I21" s="5"/>
      <c r="J21" s="3" t="s">
        <v>178</v>
      </c>
      <c r="K21" s="12" t="s">
        <v>178</v>
      </c>
      <c r="L21" s="3" t="s">
        <v>178</v>
      </c>
      <c r="M21" s="3" t="s">
        <v>178</v>
      </c>
      <c r="N21" s="3" t="s">
        <v>178</v>
      </c>
      <c r="O21" s="3" t="s">
        <v>178</v>
      </c>
      <c r="P21" s="3" t="s">
        <v>178</v>
      </c>
      <c r="Q21" s="3" t="s">
        <v>178</v>
      </c>
    </row>
    <row r="22" spans="1:17" x14ac:dyDescent="0.2">
      <c r="A22" s="15">
        <f t="shared" si="0"/>
        <v>20</v>
      </c>
      <c r="B22" s="3" t="s">
        <v>97</v>
      </c>
      <c r="C22" s="3" t="str">
        <f>VLOOKUP(B22,Listas!A$3:C$30,3,0)</f>
        <v>Secretaria Municipal de Agricultura, Abastecimento, Centro e Comércio Informal</v>
      </c>
      <c r="D22" s="3" t="str">
        <f>VLOOKUP(B22,Listas!A$3:C$30,2,0)</f>
        <v>41101</v>
      </c>
      <c r="E22" s="13" t="s">
        <v>140</v>
      </c>
      <c r="F22" s="3" t="s">
        <v>178</v>
      </c>
      <c r="G22" s="3" t="s">
        <v>178</v>
      </c>
      <c r="H22" s="5" t="s">
        <v>178</v>
      </c>
      <c r="I22" s="5"/>
      <c r="J22" s="3" t="s">
        <v>178</v>
      </c>
      <c r="K22" s="12" t="s">
        <v>178</v>
      </c>
      <c r="L22" s="3" t="s">
        <v>178</v>
      </c>
      <c r="M22" s="3" t="s">
        <v>178</v>
      </c>
      <c r="N22" s="3" t="s">
        <v>178</v>
      </c>
      <c r="O22" s="3" t="s">
        <v>178</v>
      </c>
      <c r="P22" s="3" t="s">
        <v>178</v>
      </c>
      <c r="Q22" s="3" t="s">
        <v>178</v>
      </c>
    </row>
    <row r="23" spans="1:17" x14ac:dyDescent="0.2">
      <c r="A23" s="15">
        <f t="shared" si="0"/>
        <v>21</v>
      </c>
      <c r="B23" s="3" t="s">
        <v>97</v>
      </c>
      <c r="C23" s="3" t="str">
        <f>VLOOKUP(B23,Listas!A$3:C$30,3,0)</f>
        <v>Secretaria Municipal de Agricultura, Abastecimento, Centro e Comércio Informal</v>
      </c>
      <c r="D23" s="3" t="str">
        <f>VLOOKUP(B23,Listas!A$3:C$30,2,0)</f>
        <v>41101</v>
      </c>
      <c r="E23" s="13" t="s">
        <v>141</v>
      </c>
      <c r="F23" s="3" t="s">
        <v>178</v>
      </c>
      <c r="G23" s="3" t="s">
        <v>178</v>
      </c>
      <c r="H23" s="5" t="s">
        <v>178</v>
      </c>
      <c r="I23" s="5"/>
      <c r="J23" s="3" t="s">
        <v>178</v>
      </c>
      <c r="K23" s="12" t="s">
        <v>178</v>
      </c>
      <c r="L23" s="3" t="s">
        <v>178</v>
      </c>
      <c r="M23" s="3" t="s">
        <v>178</v>
      </c>
      <c r="N23" s="3" t="s">
        <v>178</v>
      </c>
      <c r="O23" s="3" t="s">
        <v>178</v>
      </c>
      <c r="P23" s="3" t="s">
        <v>178</v>
      </c>
      <c r="Q23" s="3" t="s">
        <v>178</v>
      </c>
    </row>
    <row r="24" spans="1:17" x14ac:dyDescent="0.2">
      <c r="A24" s="15">
        <f t="shared" si="0"/>
        <v>22</v>
      </c>
      <c r="B24" s="3" t="s">
        <v>97</v>
      </c>
      <c r="C24" s="3" t="str">
        <f>VLOOKUP(B24,Listas!A$3:C$30,3,0)</f>
        <v>Secretaria Municipal de Agricultura, Abastecimento, Centro e Comércio Informal</v>
      </c>
      <c r="D24" s="3" t="str">
        <f>VLOOKUP(B24,Listas!A$3:C$30,2,0)</f>
        <v>41101</v>
      </c>
      <c r="E24" s="13" t="s">
        <v>142</v>
      </c>
      <c r="F24" s="3" t="s">
        <v>178</v>
      </c>
      <c r="G24" s="3" t="s">
        <v>178</v>
      </c>
      <c r="H24" s="5" t="s">
        <v>178</v>
      </c>
      <c r="I24" s="5"/>
      <c r="J24" s="3" t="s">
        <v>178</v>
      </c>
      <c r="K24" s="12" t="s">
        <v>178</v>
      </c>
      <c r="L24" s="3" t="s">
        <v>178</v>
      </c>
      <c r="M24" s="3" t="s">
        <v>178</v>
      </c>
      <c r="N24" s="3" t="s">
        <v>178</v>
      </c>
      <c r="O24" s="3" t="s">
        <v>178</v>
      </c>
      <c r="P24" s="3" t="s">
        <v>178</v>
      </c>
      <c r="Q24" s="3" t="s">
        <v>178</v>
      </c>
    </row>
    <row r="25" spans="1:17" x14ac:dyDescent="0.2">
      <c r="A25" s="15">
        <f t="shared" si="0"/>
        <v>23</v>
      </c>
      <c r="B25" s="3" t="s">
        <v>97</v>
      </c>
      <c r="C25" s="3" t="str">
        <f>VLOOKUP(B25,Listas!A$3:C$30,3,0)</f>
        <v>Secretaria Municipal de Agricultura, Abastecimento, Centro e Comércio Informal</v>
      </c>
      <c r="D25" s="3" t="str">
        <f>VLOOKUP(B25,Listas!A$3:C$30,2,0)</f>
        <v>41101</v>
      </c>
      <c r="E25" s="13" t="s">
        <v>143</v>
      </c>
      <c r="F25" s="3" t="s">
        <v>178</v>
      </c>
      <c r="G25" s="3" t="s">
        <v>178</v>
      </c>
      <c r="H25" s="5" t="s">
        <v>178</v>
      </c>
      <c r="I25" s="5"/>
      <c r="J25" s="3" t="s">
        <v>178</v>
      </c>
      <c r="K25" s="12" t="s">
        <v>178</v>
      </c>
      <c r="L25" s="3" t="s">
        <v>178</v>
      </c>
      <c r="M25" s="3" t="s">
        <v>178</v>
      </c>
      <c r="N25" s="3" t="s">
        <v>178</v>
      </c>
      <c r="O25" s="3" t="s">
        <v>178</v>
      </c>
      <c r="P25" s="3" t="s">
        <v>178</v>
      </c>
      <c r="Q25" s="3" t="s">
        <v>178</v>
      </c>
    </row>
    <row r="26" spans="1:17" x14ac:dyDescent="0.2">
      <c r="A26" s="15">
        <f t="shared" si="0"/>
        <v>24</v>
      </c>
      <c r="B26" s="3" t="s">
        <v>97</v>
      </c>
      <c r="C26" s="3" t="str">
        <f>VLOOKUP(B26,Listas!A$3:C$30,3,0)</f>
        <v>Secretaria Municipal de Agricultura, Abastecimento, Centro e Comércio Informal</v>
      </c>
      <c r="D26" s="3" t="str">
        <f>VLOOKUP(B26,Listas!A$3:C$30,2,0)</f>
        <v>41101</v>
      </c>
      <c r="E26" s="13" t="s">
        <v>144</v>
      </c>
      <c r="F26" s="3" t="s">
        <v>178</v>
      </c>
      <c r="G26" s="3" t="s">
        <v>178</v>
      </c>
      <c r="H26" s="5" t="s">
        <v>178</v>
      </c>
      <c r="I26" s="5"/>
      <c r="J26" s="3" t="s">
        <v>178</v>
      </c>
      <c r="K26" s="12" t="s">
        <v>178</v>
      </c>
      <c r="L26" s="3" t="s">
        <v>178</v>
      </c>
      <c r="M26" s="3" t="s">
        <v>178</v>
      </c>
      <c r="N26" s="3" t="s">
        <v>178</v>
      </c>
      <c r="O26" s="3" t="s">
        <v>178</v>
      </c>
      <c r="P26" s="3" t="s">
        <v>178</v>
      </c>
      <c r="Q26" s="3" t="s">
        <v>178</v>
      </c>
    </row>
    <row r="27" spans="1:17" x14ac:dyDescent="0.2">
      <c r="A27" s="15">
        <f t="shared" si="0"/>
        <v>25</v>
      </c>
      <c r="B27" s="3" t="s">
        <v>97</v>
      </c>
      <c r="C27" s="3" t="str">
        <f>VLOOKUP(B27,Listas!A$3:C$30,3,0)</f>
        <v>Secretaria Municipal de Agricultura, Abastecimento, Centro e Comércio Informal</v>
      </c>
      <c r="D27" s="3" t="str">
        <f>VLOOKUP(B27,Listas!A$3:C$30,2,0)</f>
        <v>41101</v>
      </c>
      <c r="E27" s="13" t="s">
        <v>130</v>
      </c>
      <c r="F27" s="3" t="s">
        <v>178</v>
      </c>
      <c r="G27" s="3" t="s">
        <v>178</v>
      </c>
      <c r="H27" s="5" t="s">
        <v>178</v>
      </c>
      <c r="I27" s="5"/>
      <c r="J27" s="3" t="s">
        <v>178</v>
      </c>
      <c r="K27" s="12" t="s">
        <v>178</v>
      </c>
      <c r="L27" s="3" t="s">
        <v>178</v>
      </c>
      <c r="M27" s="3" t="s">
        <v>178</v>
      </c>
      <c r="N27" s="3" t="s">
        <v>178</v>
      </c>
      <c r="O27" s="3" t="s">
        <v>178</v>
      </c>
      <c r="P27" s="3" t="s">
        <v>178</v>
      </c>
      <c r="Q27" s="3" t="s">
        <v>178</v>
      </c>
    </row>
    <row r="28" spans="1:17" x14ac:dyDescent="0.2">
      <c r="A28" s="15">
        <f t="shared" si="0"/>
        <v>26</v>
      </c>
      <c r="B28" s="3" t="s">
        <v>97</v>
      </c>
      <c r="C28" s="3" t="str">
        <f>VLOOKUP(B28,Listas!A$3:C$30,3,0)</f>
        <v>Secretaria Municipal de Agricultura, Abastecimento, Centro e Comércio Informal</v>
      </c>
      <c r="D28" s="3" t="str">
        <f>VLOOKUP(B28,Listas!A$3:C$30,2,0)</f>
        <v>41101</v>
      </c>
      <c r="E28" s="13" t="s">
        <v>145</v>
      </c>
      <c r="F28" s="3" t="s">
        <v>178</v>
      </c>
      <c r="G28" s="3" t="s">
        <v>178</v>
      </c>
      <c r="H28" s="5" t="s">
        <v>178</v>
      </c>
      <c r="I28" s="5"/>
      <c r="J28" s="3" t="s">
        <v>178</v>
      </c>
      <c r="K28" s="12" t="s">
        <v>178</v>
      </c>
      <c r="L28" s="3" t="s">
        <v>178</v>
      </c>
      <c r="M28" s="3" t="s">
        <v>178</v>
      </c>
      <c r="N28" s="3" t="s">
        <v>178</v>
      </c>
      <c r="O28" s="3" t="s">
        <v>178</v>
      </c>
      <c r="P28" s="3" t="s">
        <v>178</v>
      </c>
      <c r="Q28" s="3" t="s">
        <v>178</v>
      </c>
    </row>
    <row r="29" spans="1:17" x14ac:dyDescent="0.2">
      <c r="A29" s="15">
        <f t="shared" si="0"/>
        <v>27</v>
      </c>
      <c r="B29" s="3" t="s">
        <v>97</v>
      </c>
      <c r="C29" s="3" t="str">
        <f>VLOOKUP(B29,Listas!A$3:C$30,3,0)</f>
        <v>Secretaria Municipal de Agricultura, Abastecimento, Centro e Comércio Informal</v>
      </c>
      <c r="D29" s="3" t="str">
        <f>VLOOKUP(B29,Listas!A$3:C$30,2,0)</f>
        <v>41101</v>
      </c>
      <c r="E29" s="13" t="s">
        <v>146</v>
      </c>
      <c r="F29" s="3" t="s">
        <v>178</v>
      </c>
      <c r="G29" s="3" t="s">
        <v>178</v>
      </c>
      <c r="H29" s="5" t="s">
        <v>178</v>
      </c>
      <c r="I29" s="5"/>
      <c r="J29" s="3" t="s">
        <v>178</v>
      </c>
      <c r="K29" s="12" t="s">
        <v>178</v>
      </c>
      <c r="L29" s="3" t="s">
        <v>178</v>
      </c>
      <c r="M29" s="3" t="s">
        <v>178</v>
      </c>
      <c r="N29" s="3" t="s">
        <v>178</v>
      </c>
      <c r="O29" s="3" t="s">
        <v>178</v>
      </c>
      <c r="P29" s="3" t="s">
        <v>178</v>
      </c>
      <c r="Q29" s="3" t="s">
        <v>178</v>
      </c>
    </row>
    <row r="30" spans="1:17" x14ac:dyDescent="0.2">
      <c r="A30" s="15">
        <f t="shared" si="0"/>
        <v>28</v>
      </c>
      <c r="B30" s="3" t="s">
        <v>97</v>
      </c>
      <c r="C30" s="3" t="str">
        <f>VLOOKUP(B30,Listas!A$3:C$30,3,0)</f>
        <v>Secretaria Municipal de Agricultura, Abastecimento, Centro e Comércio Informal</v>
      </c>
      <c r="D30" s="3" t="str">
        <f>VLOOKUP(B30,Listas!A$3:C$30,2,0)</f>
        <v>41101</v>
      </c>
      <c r="E30" s="13" t="s">
        <v>147</v>
      </c>
      <c r="F30" s="3" t="s">
        <v>178</v>
      </c>
      <c r="G30" s="3" t="s">
        <v>178</v>
      </c>
      <c r="H30" s="5" t="s">
        <v>178</v>
      </c>
      <c r="I30" s="5"/>
      <c r="J30" s="3" t="s">
        <v>178</v>
      </c>
      <c r="K30" s="12" t="s">
        <v>178</v>
      </c>
      <c r="L30" s="3" t="s">
        <v>178</v>
      </c>
      <c r="M30" s="3" t="s">
        <v>178</v>
      </c>
      <c r="N30" s="3" t="s">
        <v>178</v>
      </c>
      <c r="O30" s="3" t="s">
        <v>178</v>
      </c>
      <c r="P30" s="3" t="s">
        <v>178</v>
      </c>
      <c r="Q30" s="3" t="s">
        <v>178</v>
      </c>
    </row>
    <row r="31" spans="1:17" x14ac:dyDescent="0.2">
      <c r="A31" s="15">
        <f t="shared" si="0"/>
        <v>29</v>
      </c>
      <c r="B31" s="3" t="s">
        <v>97</v>
      </c>
      <c r="C31" s="3" t="str">
        <f>VLOOKUP(B31,Listas!A$3:C$30,3,0)</f>
        <v>Secretaria Municipal de Agricultura, Abastecimento, Centro e Comércio Informal</v>
      </c>
      <c r="D31" s="3" t="str">
        <f>VLOOKUP(B31,Listas!A$3:C$30,2,0)</f>
        <v>41101</v>
      </c>
      <c r="E31" s="13" t="s">
        <v>148</v>
      </c>
      <c r="F31" s="3" t="s">
        <v>178</v>
      </c>
      <c r="G31" s="3" t="s">
        <v>178</v>
      </c>
      <c r="H31" s="5" t="s">
        <v>178</v>
      </c>
      <c r="I31" s="5"/>
      <c r="J31" s="3" t="s">
        <v>178</v>
      </c>
      <c r="K31" s="12" t="s">
        <v>178</v>
      </c>
      <c r="L31" s="3" t="s">
        <v>178</v>
      </c>
      <c r="M31" s="3" t="s">
        <v>178</v>
      </c>
      <c r="N31" s="3" t="s">
        <v>178</v>
      </c>
      <c r="O31" s="3" t="s">
        <v>178</v>
      </c>
      <c r="P31" s="3" t="s">
        <v>178</v>
      </c>
      <c r="Q31" s="3" t="s">
        <v>178</v>
      </c>
    </row>
    <row r="32" spans="1:17" x14ac:dyDescent="0.2">
      <c r="A32" s="15">
        <f t="shared" si="0"/>
        <v>30</v>
      </c>
      <c r="B32" s="3" t="s">
        <v>97</v>
      </c>
      <c r="C32" s="3" t="str">
        <f>VLOOKUP(B32,Listas!A$3:C$30,3,0)</f>
        <v>Secretaria Municipal de Agricultura, Abastecimento, Centro e Comércio Informal</v>
      </c>
      <c r="D32" s="3" t="str">
        <f>VLOOKUP(B32,Listas!A$3:C$30,2,0)</f>
        <v>41101</v>
      </c>
      <c r="E32" s="13" t="s">
        <v>149</v>
      </c>
      <c r="F32" s="3" t="s">
        <v>178</v>
      </c>
      <c r="G32" s="3" t="s">
        <v>178</v>
      </c>
      <c r="H32" s="5" t="s">
        <v>178</v>
      </c>
      <c r="I32" s="5"/>
      <c r="J32" s="3" t="s">
        <v>178</v>
      </c>
      <c r="K32" s="12" t="s">
        <v>178</v>
      </c>
      <c r="L32" s="3" t="s">
        <v>178</v>
      </c>
      <c r="M32" s="3" t="s">
        <v>178</v>
      </c>
      <c r="N32" s="3" t="s">
        <v>178</v>
      </c>
      <c r="O32" s="3" t="s">
        <v>178</v>
      </c>
      <c r="P32" s="3" t="s">
        <v>178</v>
      </c>
      <c r="Q32" s="3" t="s">
        <v>178</v>
      </c>
    </row>
    <row r="33" spans="1:17" x14ac:dyDescent="0.2">
      <c r="A33" s="15">
        <f t="shared" si="0"/>
        <v>31</v>
      </c>
      <c r="B33" s="3" t="s">
        <v>97</v>
      </c>
      <c r="C33" s="3" t="str">
        <f>VLOOKUP(B33,Listas!A$3:C$30,3,0)</f>
        <v>Secretaria Municipal de Agricultura, Abastecimento, Centro e Comércio Informal</v>
      </c>
      <c r="D33" s="3" t="str">
        <f>VLOOKUP(B33,Listas!A$3:C$30,2,0)</f>
        <v>41101</v>
      </c>
      <c r="E33" s="13" t="s">
        <v>150</v>
      </c>
      <c r="F33" s="3" t="s">
        <v>178</v>
      </c>
      <c r="G33" s="3" t="s">
        <v>178</v>
      </c>
      <c r="H33" s="5" t="s">
        <v>178</v>
      </c>
      <c r="I33" s="5"/>
      <c r="J33" s="3" t="s">
        <v>178</v>
      </c>
      <c r="K33" s="12" t="s">
        <v>178</v>
      </c>
      <c r="L33" s="3" t="s">
        <v>178</v>
      </c>
      <c r="M33" s="3" t="s">
        <v>178</v>
      </c>
      <c r="N33" s="3" t="s">
        <v>178</v>
      </c>
      <c r="O33" s="3" t="s">
        <v>178</v>
      </c>
      <c r="P33" s="3" t="s">
        <v>178</v>
      </c>
      <c r="Q33" s="3" t="s">
        <v>178</v>
      </c>
    </row>
    <row r="34" spans="1:17" x14ac:dyDescent="0.2">
      <c r="A34" s="15">
        <f t="shared" si="0"/>
        <v>32</v>
      </c>
      <c r="B34" s="3" t="s">
        <v>97</v>
      </c>
      <c r="C34" s="3" t="str">
        <f>VLOOKUP(B34,Listas!A$3:C$30,3,0)</f>
        <v>Secretaria Municipal de Agricultura, Abastecimento, Centro e Comércio Informal</v>
      </c>
      <c r="D34" s="3" t="str">
        <f>VLOOKUP(B34,Listas!A$3:C$30,2,0)</f>
        <v>41101</v>
      </c>
      <c r="E34" s="13" t="s">
        <v>151</v>
      </c>
      <c r="F34" s="3" t="s">
        <v>178</v>
      </c>
      <c r="G34" s="3" t="s">
        <v>178</v>
      </c>
      <c r="H34" s="5" t="s">
        <v>178</v>
      </c>
      <c r="I34" s="5"/>
      <c r="J34" s="3" t="s">
        <v>178</v>
      </c>
      <c r="K34" s="12" t="s">
        <v>178</v>
      </c>
      <c r="L34" s="3" t="s">
        <v>178</v>
      </c>
      <c r="M34" s="3" t="s">
        <v>178</v>
      </c>
      <c r="N34" s="3" t="s">
        <v>178</v>
      </c>
      <c r="O34" s="3" t="s">
        <v>178</v>
      </c>
      <c r="P34" s="3" t="s">
        <v>178</v>
      </c>
      <c r="Q34" s="3" t="s">
        <v>178</v>
      </c>
    </row>
    <row r="35" spans="1:17" x14ac:dyDescent="0.2">
      <c r="A35" s="15">
        <f t="shared" si="0"/>
        <v>33</v>
      </c>
      <c r="B35" s="3" t="s">
        <v>97</v>
      </c>
      <c r="C35" s="3" t="str">
        <f>VLOOKUP(B35,Listas!A$3:C$30,3,0)</f>
        <v>Secretaria Municipal de Agricultura, Abastecimento, Centro e Comércio Informal</v>
      </c>
      <c r="D35" s="3" t="str">
        <f>VLOOKUP(B35,Listas!A$3:C$30,2,0)</f>
        <v>41101</v>
      </c>
      <c r="E35" s="13" t="s">
        <v>152</v>
      </c>
      <c r="F35" s="3" t="s">
        <v>178</v>
      </c>
      <c r="G35" s="3" t="s">
        <v>178</v>
      </c>
      <c r="H35" s="5" t="s">
        <v>178</v>
      </c>
      <c r="I35" s="5"/>
      <c r="J35" s="3" t="s">
        <v>178</v>
      </c>
      <c r="K35" s="12" t="s">
        <v>178</v>
      </c>
      <c r="L35" s="3" t="s">
        <v>178</v>
      </c>
      <c r="M35" s="3" t="s">
        <v>178</v>
      </c>
      <c r="N35" s="3" t="s">
        <v>178</v>
      </c>
      <c r="O35" s="3" t="s">
        <v>178</v>
      </c>
      <c r="P35" s="3" t="s">
        <v>178</v>
      </c>
      <c r="Q35" s="3" t="s">
        <v>178</v>
      </c>
    </row>
    <row r="36" spans="1:17" x14ac:dyDescent="0.2">
      <c r="A36" s="15">
        <f t="shared" si="0"/>
        <v>34</v>
      </c>
      <c r="B36" s="3" t="s">
        <v>97</v>
      </c>
      <c r="C36" s="3" t="str">
        <f>VLOOKUP(B36,Listas!A$3:C$30,3,0)</f>
        <v>Secretaria Municipal de Agricultura, Abastecimento, Centro e Comércio Informal</v>
      </c>
      <c r="D36" s="3" t="str">
        <f>VLOOKUP(B36,Listas!A$3:C$30,2,0)</f>
        <v>41101</v>
      </c>
      <c r="E36" s="13" t="s">
        <v>153</v>
      </c>
      <c r="F36" s="3" t="s">
        <v>178</v>
      </c>
      <c r="G36" s="3" t="s">
        <v>178</v>
      </c>
      <c r="H36" s="5" t="s">
        <v>178</v>
      </c>
      <c r="I36" s="5"/>
      <c r="J36" s="3" t="s">
        <v>178</v>
      </c>
      <c r="K36" s="12" t="s">
        <v>178</v>
      </c>
      <c r="L36" s="3" t="s">
        <v>178</v>
      </c>
      <c r="M36" s="3" t="s">
        <v>178</v>
      </c>
      <c r="N36" s="3" t="s">
        <v>178</v>
      </c>
      <c r="O36" s="3" t="s">
        <v>178</v>
      </c>
      <c r="P36" s="3" t="s">
        <v>178</v>
      </c>
      <c r="Q36" s="3" t="s">
        <v>178</v>
      </c>
    </row>
    <row r="37" spans="1:17" x14ac:dyDescent="0.2">
      <c r="A37" s="15">
        <f t="shared" si="0"/>
        <v>35</v>
      </c>
      <c r="B37" s="3" t="s">
        <v>97</v>
      </c>
      <c r="C37" s="3" t="str">
        <f>VLOOKUP(B37,Listas!A$3:C$30,3,0)</f>
        <v>Secretaria Municipal de Agricultura, Abastecimento, Centro e Comércio Informal</v>
      </c>
      <c r="D37" s="3" t="str">
        <f>VLOOKUP(B37,Listas!A$3:C$30,2,0)</f>
        <v>41101</v>
      </c>
      <c r="E37" s="13" t="s">
        <v>132</v>
      </c>
      <c r="F37" s="3" t="s">
        <v>178</v>
      </c>
      <c r="G37" s="3" t="s">
        <v>178</v>
      </c>
      <c r="H37" s="5" t="s">
        <v>178</v>
      </c>
      <c r="I37" s="5"/>
      <c r="J37" s="3" t="s">
        <v>178</v>
      </c>
      <c r="K37" s="12" t="s">
        <v>178</v>
      </c>
      <c r="L37" s="3" t="s">
        <v>178</v>
      </c>
      <c r="M37" s="3" t="s">
        <v>178</v>
      </c>
      <c r="N37" s="3" t="s">
        <v>178</v>
      </c>
      <c r="O37" s="3" t="s">
        <v>178</v>
      </c>
      <c r="P37" s="3" t="s">
        <v>178</v>
      </c>
      <c r="Q37" s="3" t="s">
        <v>178</v>
      </c>
    </row>
    <row r="38" spans="1:17" x14ac:dyDescent="0.2">
      <c r="A38" s="15">
        <f t="shared" si="0"/>
        <v>36</v>
      </c>
      <c r="B38" s="3" t="s">
        <v>97</v>
      </c>
      <c r="C38" s="3" t="str">
        <f>VLOOKUP(B38,Listas!A$3:C$30,3,0)</f>
        <v>Secretaria Municipal de Agricultura, Abastecimento, Centro e Comércio Informal</v>
      </c>
      <c r="D38" s="3" t="str">
        <f>VLOOKUP(B38,Listas!A$3:C$30,2,0)</f>
        <v>41101</v>
      </c>
      <c r="E38" s="13" t="s">
        <v>154</v>
      </c>
      <c r="F38" s="3" t="s">
        <v>178</v>
      </c>
      <c r="G38" s="3" t="s">
        <v>178</v>
      </c>
      <c r="H38" s="5" t="s">
        <v>178</v>
      </c>
      <c r="I38" s="5"/>
      <c r="J38" s="3" t="s">
        <v>178</v>
      </c>
      <c r="K38" s="12" t="s">
        <v>178</v>
      </c>
      <c r="L38" s="3" t="s">
        <v>178</v>
      </c>
      <c r="M38" s="3" t="s">
        <v>178</v>
      </c>
      <c r="N38" s="3" t="s">
        <v>178</v>
      </c>
      <c r="O38" s="3" t="s">
        <v>178</v>
      </c>
      <c r="P38" s="3" t="s">
        <v>178</v>
      </c>
      <c r="Q38" s="3" t="s">
        <v>178</v>
      </c>
    </row>
    <row r="39" spans="1:17" x14ac:dyDescent="0.2">
      <c r="A39" s="15">
        <f t="shared" si="0"/>
        <v>37</v>
      </c>
      <c r="B39" s="3" t="s">
        <v>97</v>
      </c>
      <c r="C39" s="3" t="str">
        <f>VLOOKUP(B39,Listas!A$3:C$30,3,0)</f>
        <v>Secretaria Municipal de Agricultura, Abastecimento, Centro e Comércio Informal</v>
      </c>
      <c r="D39" s="3" t="str">
        <f>VLOOKUP(B39,Listas!A$3:C$30,2,0)</f>
        <v>41101</v>
      </c>
      <c r="E39" s="13" t="s">
        <v>155</v>
      </c>
      <c r="F39" s="3" t="s">
        <v>178</v>
      </c>
      <c r="G39" s="3" t="s">
        <v>178</v>
      </c>
      <c r="H39" s="5" t="s">
        <v>178</v>
      </c>
      <c r="I39" s="5"/>
      <c r="J39" s="3" t="s">
        <v>178</v>
      </c>
      <c r="K39" s="12" t="s">
        <v>178</v>
      </c>
      <c r="L39" s="3" t="s">
        <v>178</v>
      </c>
      <c r="M39" s="3" t="s">
        <v>178</v>
      </c>
      <c r="N39" s="3" t="s">
        <v>178</v>
      </c>
      <c r="O39" s="3" t="s">
        <v>178</v>
      </c>
      <c r="P39" s="3" t="s">
        <v>178</v>
      </c>
      <c r="Q39" s="3" t="s">
        <v>178</v>
      </c>
    </row>
    <row r="40" spans="1:17" x14ac:dyDescent="0.2">
      <c r="A40" s="15">
        <f t="shared" si="0"/>
        <v>38</v>
      </c>
      <c r="B40" s="3" t="s">
        <v>97</v>
      </c>
      <c r="C40" s="3" t="str">
        <f>VLOOKUP(B40,Listas!A$3:C$30,3,0)</f>
        <v>Secretaria Municipal de Agricultura, Abastecimento, Centro e Comércio Informal</v>
      </c>
      <c r="D40" s="3" t="str">
        <f>VLOOKUP(B40,Listas!A$3:C$30,2,0)</f>
        <v>41101</v>
      </c>
      <c r="E40" s="13" t="s">
        <v>156</v>
      </c>
      <c r="F40" s="3" t="s">
        <v>178</v>
      </c>
      <c r="G40" s="3" t="s">
        <v>178</v>
      </c>
      <c r="H40" s="5" t="s">
        <v>178</v>
      </c>
      <c r="I40" s="5"/>
      <c r="J40" s="3" t="s">
        <v>178</v>
      </c>
      <c r="K40" s="12" t="s">
        <v>178</v>
      </c>
      <c r="L40" s="3" t="s">
        <v>178</v>
      </c>
      <c r="M40" s="3" t="s">
        <v>178</v>
      </c>
      <c r="N40" s="3" t="s">
        <v>178</v>
      </c>
      <c r="O40" s="3" t="s">
        <v>178</v>
      </c>
      <c r="P40" s="3" t="s">
        <v>178</v>
      </c>
      <c r="Q40" s="3" t="s">
        <v>178</v>
      </c>
    </row>
    <row r="41" spans="1:17" x14ac:dyDescent="0.2">
      <c r="A41" s="15">
        <f t="shared" si="0"/>
        <v>39</v>
      </c>
      <c r="B41" s="3" t="s">
        <v>97</v>
      </c>
      <c r="C41" s="3" t="str">
        <f>VLOOKUP(B41,Listas!A$3:C$30,3,0)</f>
        <v>Secretaria Municipal de Agricultura, Abastecimento, Centro e Comércio Informal</v>
      </c>
      <c r="D41" s="3" t="str">
        <f>VLOOKUP(B41,Listas!A$3:C$30,2,0)</f>
        <v>41101</v>
      </c>
      <c r="E41" s="13" t="s">
        <v>157</v>
      </c>
      <c r="F41" s="3" t="s">
        <v>178</v>
      </c>
      <c r="G41" s="3" t="s">
        <v>178</v>
      </c>
      <c r="H41" s="5" t="s">
        <v>178</v>
      </c>
      <c r="I41" s="5"/>
      <c r="J41" s="3" t="s">
        <v>178</v>
      </c>
      <c r="K41" s="12" t="s">
        <v>178</v>
      </c>
      <c r="L41" s="3" t="s">
        <v>178</v>
      </c>
      <c r="M41" s="3" t="s">
        <v>178</v>
      </c>
      <c r="N41" s="3" t="s">
        <v>178</v>
      </c>
      <c r="O41" s="3" t="s">
        <v>178</v>
      </c>
      <c r="P41" s="3" t="s">
        <v>178</v>
      </c>
      <c r="Q41" s="3" t="s">
        <v>178</v>
      </c>
    </row>
    <row r="42" spans="1:17" x14ac:dyDescent="0.2">
      <c r="A42" s="15">
        <f t="shared" si="0"/>
        <v>40</v>
      </c>
      <c r="B42" s="3" t="s">
        <v>97</v>
      </c>
      <c r="C42" s="3" t="str">
        <f>VLOOKUP(B42,Listas!A$3:C$30,3,0)</f>
        <v>Secretaria Municipal de Agricultura, Abastecimento, Centro e Comércio Informal</v>
      </c>
      <c r="D42" s="3" t="str">
        <f>VLOOKUP(B42,Listas!A$3:C$30,2,0)</f>
        <v>41101</v>
      </c>
      <c r="E42" s="13" t="s">
        <v>158</v>
      </c>
      <c r="F42" s="3" t="s">
        <v>178</v>
      </c>
      <c r="G42" s="3" t="s">
        <v>178</v>
      </c>
      <c r="H42" s="5" t="s">
        <v>178</v>
      </c>
      <c r="I42" s="5"/>
      <c r="J42" s="3" t="s">
        <v>178</v>
      </c>
      <c r="K42" s="12" t="s">
        <v>178</v>
      </c>
      <c r="L42" s="3" t="s">
        <v>178</v>
      </c>
      <c r="M42" s="3" t="s">
        <v>178</v>
      </c>
      <c r="N42" s="3" t="s">
        <v>178</v>
      </c>
      <c r="O42" s="3" t="s">
        <v>178</v>
      </c>
      <c r="P42" s="3" t="s">
        <v>178</v>
      </c>
      <c r="Q42" s="3" t="s">
        <v>178</v>
      </c>
    </row>
    <row r="43" spans="1:17" x14ac:dyDescent="0.2">
      <c r="A43" s="15">
        <f t="shared" si="0"/>
        <v>41</v>
      </c>
      <c r="B43" s="3" t="s">
        <v>97</v>
      </c>
      <c r="C43" s="3" t="str">
        <f>VLOOKUP(B43,Listas!A$3:C$30,3,0)</f>
        <v>Secretaria Municipal de Agricultura, Abastecimento, Centro e Comércio Informal</v>
      </c>
      <c r="D43" s="3" t="str">
        <f>VLOOKUP(B43,Listas!A$3:C$30,2,0)</f>
        <v>41101</v>
      </c>
      <c r="E43" s="13" t="s">
        <v>159</v>
      </c>
      <c r="F43" s="3" t="s">
        <v>178</v>
      </c>
      <c r="G43" s="3" t="s">
        <v>178</v>
      </c>
      <c r="H43" s="5" t="s">
        <v>178</v>
      </c>
      <c r="I43" s="5"/>
      <c r="J43" s="3" t="s">
        <v>178</v>
      </c>
      <c r="K43" s="12" t="s">
        <v>174</v>
      </c>
      <c r="L43" s="3">
        <v>5429</v>
      </c>
      <c r="M43" s="3" t="s">
        <v>173</v>
      </c>
      <c r="N43" s="3" t="s">
        <v>178</v>
      </c>
      <c r="O43" s="3" t="s">
        <v>178</v>
      </c>
      <c r="P43" s="3" t="s">
        <v>178</v>
      </c>
      <c r="Q43" s="3" t="s">
        <v>178</v>
      </c>
    </row>
    <row r="44" spans="1:17" x14ac:dyDescent="0.2">
      <c r="A44" s="15">
        <f t="shared" si="0"/>
        <v>42</v>
      </c>
      <c r="B44" s="3" t="s">
        <v>97</v>
      </c>
      <c r="C44" s="3" t="str">
        <f>VLOOKUP(B44,Listas!A$3:C$30,3,0)</f>
        <v>Secretaria Municipal de Agricultura, Abastecimento, Centro e Comércio Informal</v>
      </c>
      <c r="D44" s="3" t="str">
        <f>VLOOKUP(B44,Listas!A$3:C$30,2,0)</f>
        <v>41101</v>
      </c>
      <c r="E44" s="13" t="s">
        <v>160</v>
      </c>
      <c r="F44" s="3" t="s">
        <v>178</v>
      </c>
      <c r="G44" s="3" t="s">
        <v>178</v>
      </c>
      <c r="H44" s="5" t="s">
        <v>178</v>
      </c>
      <c r="I44" s="5">
        <v>2518955.7799999998</v>
      </c>
      <c r="J44" s="3" t="s">
        <v>178</v>
      </c>
      <c r="K44" s="12" t="s">
        <v>178</v>
      </c>
      <c r="L44" s="3" t="s">
        <v>178</v>
      </c>
      <c r="M44" s="3" t="s">
        <v>178</v>
      </c>
      <c r="N44" s="3" t="s">
        <v>178</v>
      </c>
      <c r="O44" s="3" t="s">
        <v>178</v>
      </c>
      <c r="P44" s="3" t="s">
        <v>178</v>
      </c>
      <c r="Q44" s="3" t="s">
        <v>178</v>
      </c>
    </row>
    <row r="45" spans="1:17" x14ac:dyDescent="0.2">
      <c r="A45" s="15">
        <f t="shared" si="0"/>
        <v>43</v>
      </c>
      <c r="B45" s="3" t="s">
        <v>97</v>
      </c>
      <c r="C45" s="3" t="str">
        <f>VLOOKUP(B45,Listas!A$3:C$30,3,0)</f>
        <v>Secretaria Municipal de Agricultura, Abastecimento, Centro e Comércio Informal</v>
      </c>
      <c r="D45" s="3" t="str">
        <f>VLOOKUP(B45,Listas!A$3:C$30,2,0)</f>
        <v>41101</v>
      </c>
      <c r="E45" s="13" t="s">
        <v>161</v>
      </c>
      <c r="F45" s="3" t="s">
        <v>178</v>
      </c>
      <c r="G45" s="3" t="s">
        <v>178</v>
      </c>
      <c r="H45" s="5" t="s">
        <v>178</v>
      </c>
      <c r="I45" s="5">
        <v>2010212.64</v>
      </c>
      <c r="J45" s="3" t="s">
        <v>178</v>
      </c>
      <c r="K45" s="12" t="s">
        <v>178</v>
      </c>
      <c r="L45" s="3" t="s">
        <v>178</v>
      </c>
      <c r="M45" s="3" t="s">
        <v>178</v>
      </c>
      <c r="N45" s="3" t="s">
        <v>178</v>
      </c>
      <c r="O45" s="3" t="s">
        <v>178</v>
      </c>
      <c r="P45" s="3" t="s">
        <v>178</v>
      </c>
      <c r="Q45" s="3" t="s">
        <v>178</v>
      </c>
    </row>
    <row r="46" spans="1:17" x14ac:dyDescent="0.2">
      <c r="A46" s="15">
        <f t="shared" si="0"/>
        <v>44</v>
      </c>
      <c r="B46" s="3" t="s">
        <v>97</v>
      </c>
      <c r="C46" s="3" t="str">
        <f>VLOOKUP(B46,Listas!A$3:C$30,3,0)</f>
        <v>Secretaria Municipal de Agricultura, Abastecimento, Centro e Comércio Informal</v>
      </c>
      <c r="D46" s="3" t="str">
        <f>VLOOKUP(B46,Listas!A$3:C$30,2,0)</f>
        <v>41101</v>
      </c>
      <c r="E46" s="13" t="s">
        <v>162</v>
      </c>
      <c r="F46" s="3" t="s">
        <v>178</v>
      </c>
      <c r="G46" s="3" t="s">
        <v>178</v>
      </c>
      <c r="H46" s="5" t="s">
        <v>178</v>
      </c>
      <c r="I46" s="5">
        <v>2082471.48</v>
      </c>
      <c r="J46" s="3" t="s">
        <v>178</v>
      </c>
      <c r="K46" s="12" t="s">
        <v>175</v>
      </c>
      <c r="L46" s="3">
        <v>5228</v>
      </c>
      <c r="M46" s="3" t="s">
        <v>173</v>
      </c>
      <c r="N46" s="3" t="s">
        <v>178</v>
      </c>
      <c r="O46" s="3" t="s">
        <v>178</v>
      </c>
      <c r="P46" s="3" t="s">
        <v>178</v>
      </c>
      <c r="Q46" s="3" t="s">
        <v>178</v>
      </c>
    </row>
    <row r="47" spans="1:17" x14ac:dyDescent="0.2">
      <c r="A47" s="15">
        <f t="shared" si="0"/>
        <v>45</v>
      </c>
      <c r="B47" s="3" t="s">
        <v>97</v>
      </c>
      <c r="C47" s="3" t="str">
        <f>VLOOKUP(B47,Listas!A$3:C$30,3,0)</f>
        <v>Secretaria Municipal de Agricultura, Abastecimento, Centro e Comércio Informal</v>
      </c>
      <c r="D47" s="3" t="str">
        <f>VLOOKUP(B47,Listas!A$3:C$30,2,0)</f>
        <v>41101</v>
      </c>
      <c r="E47" s="13" t="s">
        <v>163</v>
      </c>
      <c r="F47" s="3" t="s">
        <v>178</v>
      </c>
      <c r="G47" s="3" t="s">
        <v>178</v>
      </c>
      <c r="H47" s="5" t="s">
        <v>178</v>
      </c>
      <c r="I47" s="5">
        <v>265719.28000000003</v>
      </c>
      <c r="J47" s="3" t="s">
        <v>178</v>
      </c>
      <c r="K47" s="12" t="s">
        <v>178</v>
      </c>
      <c r="L47" s="3" t="s">
        <v>178</v>
      </c>
      <c r="M47" s="3" t="s">
        <v>178</v>
      </c>
      <c r="N47" s="3" t="s">
        <v>178</v>
      </c>
      <c r="O47" s="3" t="s">
        <v>178</v>
      </c>
      <c r="P47" s="3" t="s">
        <v>178</v>
      </c>
      <c r="Q47" s="3" t="s">
        <v>178</v>
      </c>
    </row>
    <row r="48" spans="1:17" x14ac:dyDescent="0.2">
      <c r="A48" s="15">
        <f t="shared" si="0"/>
        <v>46</v>
      </c>
      <c r="B48" s="3" t="s">
        <v>97</v>
      </c>
      <c r="C48" s="3" t="str">
        <f>VLOOKUP(B48,Listas!A$3:C$30,3,0)</f>
        <v>Secretaria Municipal de Agricultura, Abastecimento, Centro e Comércio Informal</v>
      </c>
      <c r="D48" s="3" t="str">
        <f>VLOOKUP(B48,Listas!A$3:C$30,2,0)</f>
        <v>41101</v>
      </c>
      <c r="E48" s="13" t="s">
        <v>164</v>
      </c>
      <c r="F48" s="3" t="s">
        <v>178</v>
      </c>
      <c r="G48" s="3" t="s">
        <v>178</v>
      </c>
      <c r="H48" s="5" t="s">
        <v>178</v>
      </c>
      <c r="I48" s="5">
        <v>939580.29</v>
      </c>
      <c r="J48" s="3" t="s">
        <v>178</v>
      </c>
      <c r="K48" s="12" t="s">
        <v>176</v>
      </c>
      <c r="L48" s="3">
        <v>5228</v>
      </c>
      <c r="M48" s="3" t="s">
        <v>173</v>
      </c>
      <c r="N48" s="3" t="s">
        <v>178</v>
      </c>
      <c r="O48" s="3" t="s">
        <v>178</v>
      </c>
      <c r="P48" s="3" t="s">
        <v>178</v>
      </c>
      <c r="Q48" s="3" t="s">
        <v>178</v>
      </c>
    </row>
    <row r="49" spans="1:17" x14ac:dyDescent="0.2">
      <c r="A49" s="15">
        <f t="shared" si="0"/>
        <v>47</v>
      </c>
      <c r="B49" s="3" t="s">
        <v>97</v>
      </c>
      <c r="C49" s="3" t="str">
        <f>VLOOKUP(B49,Listas!A$3:C$30,3,0)</f>
        <v>Secretaria Municipal de Agricultura, Abastecimento, Centro e Comércio Informal</v>
      </c>
      <c r="D49" s="3" t="str">
        <f>VLOOKUP(B49,Listas!A$3:C$30,2,0)</f>
        <v>41101</v>
      </c>
      <c r="E49" s="13" t="s">
        <v>165</v>
      </c>
      <c r="F49" s="3" t="s">
        <v>178</v>
      </c>
      <c r="G49" s="3" t="s">
        <v>178</v>
      </c>
      <c r="H49" s="5" t="s">
        <v>178</v>
      </c>
      <c r="I49" s="5"/>
      <c r="J49" s="3" t="s">
        <v>178</v>
      </c>
      <c r="K49" s="12" t="s">
        <v>178</v>
      </c>
      <c r="L49" s="3" t="s">
        <v>178</v>
      </c>
      <c r="M49" s="3" t="s">
        <v>178</v>
      </c>
      <c r="N49" s="3" t="s">
        <v>178</v>
      </c>
      <c r="O49" s="3" t="s">
        <v>178</v>
      </c>
      <c r="P49" s="3" t="s">
        <v>178</v>
      </c>
      <c r="Q49" s="3" t="s">
        <v>178</v>
      </c>
    </row>
    <row r="50" spans="1:17" x14ac:dyDescent="0.2">
      <c r="A50" s="15">
        <f t="shared" si="0"/>
        <v>48</v>
      </c>
      <c r="B50" s="3" t="s">
        <v>97</v>
      </c>
      <c r="C50" s="3" t="str">
        <f>VLOOKUP(B50,Listas!A$3:C$30,3,0)</f>
        <v>Secretaria Municipal de Agricultura, Abastecimento, Centro e Comércio Informal</v>
      </c>
      <c r="D50" s="3" t="str">
        <f>VLOOKUP(B50,Listas!A$3:C$30,2,0)</f>
        <v>41101</v>
      </c>
      <c r="E50" s="13" t="s">
        <v>166</v>
      </c>
      <c r="F50" s="3" t="s">
        <v>178</v>
      </c>
      <c r="G50" s="3" t="s">
        <v>178</v>
      </c>
      <c r="H50" s="5" t="s">
        <v>178</v>
      </c>
      <c r="I50" s="5"/>
      <c r="J50" s="3" t="s">
        <v>178</v>
      </c>
      <c r="K50" s="12" t="s">
        <v>178</v>
      </c>
      <c r="L50" s="3" t="s">
        <v>178</v>
      </c>
      <c r="M50" s="3" t="s">
        <v>178</v>
      </c>
      <c r="N50" s="3" t="s">
        <v>178</v>
      </c>
      <c r="O50" s="3" t="s">
        <v>178</v>
      </c>
      <c r="P50" s="3" t="s">
        <v>178</v>
      </c>
      <c r="Q50" s="3" t="s">
        <v>178</v>
      </c>
    </row>
    <row r="51" spans="1:17" x14ac:dyDescent="0.2">
      <c r="A51" s="15">
        <f t="shared" si="0"/>
        <v>49</v>
      </c>
      <c r="B51" s="3" t="s">
        <v>97</v>
      </c>
      <c r="C51" s="3" t="str">
        <f>VLOOKUP(B51,Listas!A$3:C$30,3,0)</f>
        <v>Secretaria Municipal de Agricultura, Abastecimento, Centro e Comércio Informal</v>
      </c>
      <c r="D51" s="3" t="str">
        <f>VLOOKUP(B51,Listas!A$3:C$30,2,0)</f>
        <v>41101</v>
      </c>
      <c r="E51" s="13" t="s">
        <v>167</v>
      </c>
      <c r="F51" s="3" t="s">
        <v>178</v>
      </c>
      <c r="G51" s="3" t="s">
        <v>178</v>
      </c>
      <c r="H51" s="5" t="s">
        <v>178</v>
      </c>
      <c r="I51" s="5">
        <v>466009.43</v>
      </c>
      <c r="J51" s="3" t="s">
        <v>178</v>
      </c>
      <c r="K51" s="12" t="s">
        <v>178</v>
      </c>
      <c r="L51" s="3" t="s">
        <v>178</v>
      </c>
      <c r="M51" s="3" t="s">
        <v>178</v>
      </c>
      <c r="N51" s="3" t="s">
        <v>178</v>
      </c>
      <c r="O51" s="3" t="s">
        <v>178</v>
      </c>
      <c r="P51" s="3" t="s">
        <v>178</v>
      </c>
      <c r="Q51" s="3" t="s">
        <v>178</v>
      </c>
    </row>
  </sheetData>
  <mergeCells count="1">
    <mergeCell ref="A1:Q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Listas!$F$3:$F$10</xm:f>
          </x14:formula1>
          <xm:sqref>G3:G51</xm:sqref>
        </x14:dataValidation>
        <x14:dataValidation type="list" allowBlank="1" showInputMessage="1" showErrorMessage="1">
          <x14:formula1>
            <xm:f>Listas!$D$3:$D$8</xm:f>
          </x14:formula1>
          <xm:sqref>F3:F51</xm:sqref>
        </x14:dataValidation>
        <x14:dataValidation type="list" allowBlank="1" showInputMessage="1" showErrorMessage="1">
          <x14:formula1>
            <xm:f>Listas!$A$3:$A$30</xm:f>
          </x14:formula1>
          <xm:sqref>B3:B51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8" sqref="C18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8" t="s">
        <v>4</v>
      </c>
      <c r="B2" s="8" t="s">
        <v>75</v>
      </c>
      <c r="C2" s="8" t="s">
        <v>40</v>
      </c>
      <c r="D2" s="8" t="s">
        <v>16</v>
      </c>
      <c r="E2" s="8" t="s">
        <v>1</v>
      </c>
      <c r="F2" s="8" t="s">
        <v>14</v>
      </c>
      <c r="G2" s="8" t="s">
        <v>2</v>
      </c>
    </row>
    <row r="3" spans="1:7" x14ac:dyDescent="0.25">
      <c r="A3" s="6" t="s">
        <v>118</v>
      </c>
      <c r="B3" s="6" t="s">
        <v>120</v>
      </c>
      <c r="C3" s="6" t="s">
        <v>119</v>
      </c>
      <c r="D3" s="6" t="s">
        <v>18</v>
      </c>
      <c r="E3" s="6" t="s">
        <v>27</v>
      </c>
      <c r="F3" s="6" t="s">
        <v>31</v>
      </c>
      <c r="G3" s="6" t="s">
        <v>33</v>
      </c>
    </row>
    <row r="4" spans="1:7" x14ac:dyDescent="0.25">
      <c r="A4" s="6" t="s">
        <v>43</v>
      </c>
      <c r="B4" s="6" t="s">
        <v>44</v>
      </c>
      <c r="C4" s="6" t="s">
        <v>45</v>
      </c>
      <c r="D4" s="6" t="s">
        <v>17</v>
      </c>
      <c r="E4" s="6" t="s">
        <v>26</v>
      </c>
      <c r="F4" s="6" t="s">
        <v>32</v>
      </c>
      <c r="G4" s="6" t="s">
        <v>34</v>
      </c>
    </row>
    <row r="5" spans="1:7" x14ac:dyDescent="0.25">
      <c r="A5" s="6" t="s">
        <v>46</v>
      </c>
      <c r="B5" s="6" t="s">
        <v>47</v>
      </c>
      <c r="C5" s="6" t="s">
        <v>168</v>
      </c>
      <c r="D5" s="6" t="s">
        <v>19</v>
      </c>
      <c r="E5" s="6" t="s">
        <v>25</v>
      </c>
      <c r="F5" s="6" t="s">
        <v>29</v>
      </c>
      <c r="G5" s="6" t="s">
        <v>35</v>
      </c>
    </row>
    <row r="6" spans="1:7" x14ac:dyDescent="0.25">
      <c r="A6" s="6" t="s">
        <v>72</v>
      </c>
      <c r="B6" s="6" t="s">
        <v>73</v>
      </c>
      <c r="C6" s="6" t="s">
        <v>74</v>
      </c>
      <c r="D6" s="6" t="s">
        <v>178</v>
      </c>
      <c r="E6" s="6" t="s">
        <v>24</v>
      </c>
      <c r="F6" s="6" t="s">
        <v>28</v>
      </c>
      <c r="G6" s="6" t="s">
        <v>36</v>
      </c>
    </row>
    <row r="7" spans="1:7" x14ac:dyDescent="0.25">
      <c r="A7" s="6" t="s">
        <v>57</v>
      </c>
      <c r="B7" s="6" t="s">
        <v>58</v>
      </c>
      <c r="C7" s="6" t="s">
        <v>59</v>
      </c>
      <c r="D7" s="6"/>
      <c r="E7" s="6" t="s">
        <v>22</v>
      </c>
      <c r="F7" s="6" t="s">
        <v>30</v>
      </c>
      <c r="G7" s="6" t="s">
        <v>37</v>
      </c>
    </row>
    <row r="8" spans="1:7" x14ac:dyDescent="0.25">
      <c r="A8" s="6" t="s">
        <v>39</v>
      </c>
      <c r="B8" s="6" t="s">
        <v>41</v>
      </c>
      <c r="C8" s="6" t="s">
        <v>42</v>
      </c>
      <c r="D8" s="6"/>
      <c r="E8" s="6" t="s">
        <v>20</v>
      </c>
      <c r="F8" s="6" t="s">
        <v>178</v>
      </c>
      <c r="G8" s="6" t="s">
        <v>178</v>
      </c>
    </row>
    <row r="9" spans="1:7" x14ac:dyDescent="0.25">
      <c r="A9" s="6" t="s">
        <v>103</v>
      </c>
      <c r="B9" s="6" t="s">
        <v>104</v>
      </c>
      <c r="C9" s="6" t="s">
        <v>105</v>
      </c>
      <c r="D9" s="6"/>
      <c r="E9" s="6" t="s">
        <v>23</v>
      </c>
      <c r="F9" s="6"/>
      <c r="G9" s="6"/>
    </row>
    <row r="10" spans="1:7" x14ac:dyDescent="0.25">
      <c r="A10" s="6" t="s">
        <v>76</v>
      </c>
      <c r="B10" s="6" t="s">
        <v>77</v>
      </c>
      <c r="C10" s="6" t="s">
        <v>78</v>
      </c>
      <c r="D10" s="6"/>
      <c r="E10" s="6" t="s">
        <v>21</v>
      </c>
      <c r="F10" s="6"/>
      <c r="G10" s="6"/>
    </row>
    <row r="11" spans="1:7" x14ac:dyDescent="0.25">
      <c r="A11" s="6" t="s">
        <v>48</v>
      </c>
      <c r="B11" s="6" t="s">
        <v>49</v>
      </c>
      <c r="C11" s="6" t="s">
        <v>50</v>
      </c>
      <c r="D11" s="6"/>
      <c r="E11" s="6"/>
      <c r="F11" s="6"/>
      <c r="G11" s="6"/>
    </row>
    <row r="12" spans="1:7" x14ac:dyDescent="0.25">
      <c r="A12" s="6" t="s">
        <v>109</v>
      </c>
      <c r="B12" s="6" t="s">
        <v>110</v>
      </c>
      <c r="C12" s="6" t="s">
        <v>111</v>
      </c>
      <c r="D12" s="6"/>
      <c r="E12" s="6"/>
      <c r="F12" s="6"/>
      <c r="G12" s="6"/>
    </row>
    <row r="13" spans="1:7" x14ac:dyDescent="0.25">
      <c r="A13" s="6" t="s">
        <v>106</v>
      </c>
      <c r="B13" s="6" t="s">
        <v>107</v>
      </c>
      <c r="C13" s="6" t="s">
        <v>108</v>
      </c>
      <c r="D13" s="6"/>
      <c r="E13" s="6"/>
      <c r="F13" s="6"/>
      <c r="G13" s="6"/>
    </row>
    <row r="14" spans="1:7" x14ac:dyDescent="0.25">
      <c r="A14" s="6" t="s">
        <v>112</v>
      </c>
      <c r="B14" s="6" t="s">
        <v>113</v>
      </c>
      <c r="C14" s="6" t="s">
        <v>114</v>
      </c>
      <c r="D14" s="6"/>
      <c r="E14" s="6"/>
      <c r="F14" s="6"/>
      <c r="G14" s="6"/>
    </row>
    <row r="15" spans="1:7" x14ac:dyDescent="0.25">
      <c r="A15" s="6" t="s">
        <v>115</v>
      </c>
      <c r="B15" s="6" t="s">
        <v>116</v>
      </c>
      <c r="C15" s="6" t="s">
        <v>117</v>
      </c>
      <c r="D15" s="6"/>
      <c r="E15" s="6"/>
      <c r="F15" s="6"/>
      <c r="G15" s="6"/>
    </row>
    <row r="16" spans="1:7" x14ac:dyDescent="0.25">
      <c r="A16" s="6" t="s">
        <v>51</v>
      </c>
      <c r="B16" s="6" t="s">
        <v>52</v>
      </c>
      <c r="C16" s="6" t="s">
        <v>53</v>
      </c>
      <c r="D16" s="6"/>
      <c r="E16" s="6"/>
      <c r="F16" s="6"/>
      <c r="G16" s="6"/>
    </row>
    <row r="17" spans="1:7" x14ac:dyDescent="0.25">
      <c r="A17" s="6" t="s">
        <v>97</v>
      </c>
      <c r="B17" s="6" t="s">
        <v>98</v>
      </c>
      <c r="C17" s="6" t="s">
        <v>99</v>
      </c>
      <c r="D17" s="6"/>
      <c r="E17" s="6"/>
      <c r="F17" s="6"/>
      <c r="G17" s="6"/>
    </row>
    <row r="18" spans="1:7" x14ac:dyDescent="0.25">
      <c r="A18" s="6" t="s">
        <v>54</v>
      </c>
      <c r="B18" s="6" t="s">
        <v>55</v>
      </c>
      <c r="C18" s="6" t="s">
        <v>56</v>
      </c>
      <c r="D18" s="6"/>
      <c r="E18" s="6"/>
      <c r="F18" s="6"/>
      <c r="G18" s="6"/>
    </row>
    <row r="19" spans="1:7" x14ac:dyDescent="0.25">
      <c r="A19" s="6" t="s">
        <v>91</v>
      </c>
      <c r="B19" s="6" t="s">
        <v>93</v>
      </c>
      <c r="C19" s="6" t="s">
        <v>92</v>
      </c>
      <c r="D19" s="6"/>
      <c r="E19" s="6"/>
      <c r="F19" s="6"/>
      <c r="G19" s="6"/>
    </row>
    <row r="20" spans="1:7" x14ac:dyDescent="0.25">
      <c r="A20" s="6" t="s">
        <v>66</v>
      </c>
      <c r="B20" s="6" t="s">
        <v>67</v>
      </c>
      <c r="C20" s="6" t="s">
        <v>68</v>
      </c>
      <c r="D20" s="6"/>
      <c r="E20" s="6"/>
      <c r="F20" s="6"/>
      <c r="G20" s="6"/>
    </row>
    <row r="21" spans="1:7" x14ac:dyDescent="0.25">
      <c r="A21" s="6" t="s">
        <v>63</v>
      </c>
      <c r="B21" s="6" t="s">
        <v>64</v>
      </c>
      <c r="C21" s="6" t="s">
        <v>65</v>
      </c>
      <c r="D21" s="6"/>
      <c r="E21" s="6"/>
      <c r="F21" s="6"/>
      <c r="G21" s="6"/>
    </row>
    <row r="22" spans="1:7" x14ac:dyDescent="0.25">
      <c r="A22" s="6" t="s">
        <v>60</v>
      </c>
      <c r="B22" s="6" t="s">
        <v>61</v>
      </c>
      <c r="C22" s="6" t="s">
        <v>62</v>
      </c>
      <c r="D22" s="6"/>
      <c r="E22" s="6"/>
      <c r="F22" s="6"/>
      <c r="G22" s="6"/>
    </row>
    <row r="23" spans="1:7" x14ac:dyDescent="0.25">
      <c r="A23" s="6" t="s">
        <v>100</v>
      </c>
      <c r="B23" s="6" t="s">
        <v>101</v>
      </c>
      <c r="C23" s="6" t="s">
        <v>102</v>
      </c>
      <c r="D23" s="6"/>
      <c r="E23" s="6"/>
      <c r="F23" s="6"/>
      <c r="G23" s="6"/>
    </row>
    <row r="24" spans="1:7" x14ac:dyDescent="0.25">
      <c r="A24" s="6" t="s">
        <v>85</v>
      </c>
      <c r="B24" s="6" t="s">
        <v>86</v>
      </c>
      <c r="C24" s="6" t="s">
        <v>87</v>
      </c>
      <c r="D24" s="6"/>
      <c r="E24" s="6"/>
      <c r="F24" s="6"/>
      <c r="G24" s="6"/>
    </row>
    <row r="25" spans="1:7" x14ac:dyDescent="0.25">
      <c r="A25" s="6" t="s">
        <v>82</v>
      </c>
      <c r="B25" s="6" t="s">
        <v>83</v>
      </c>
      <c r="C25" s="6" t="s">
        <v>84</v>
      </c>
      <c r="D25" s="6"/>
      <c r="E25" s="6"/>
      <c r="F25" s="6"/>
      <c r="G25" s="6"/>
    </row>
    <row r="26" spans="1:7" x14ac:dyDescent="0.25">
      <c r="A26" s="6" t="s">
        <v>88</v>
      </c>
      <c r="B26" s="6" t="s">
        <v>89</v>
      </c>
      <c r="C26" s="6" t="s">
        <v>90</v>
      </c>
      <c r="D26" s="6"/>
      <c r="E26" s="6"/>
      <c r="F26" s="6"/>
      <c r="G26" s="6"/>
    </row>
    <row r="27" spans="1:7" x14ac:dyDescent="0.25">
      <c r="A27" s="6" t="s">
        <v>169</v>
      </c>
      <c r="B27" s="6" t="s">
        <v>170</v>
      </c>
      <c r="C27" s="6" t="s">
        <v>171</v>
      </c>
      <c r="D27" s="6"/>
      <c r="E27" s="6"/>
      <c r="F27" s="6"/>
      <c r="G27" s="6"/>
    </row>
    <row r="28" spans="1:7" x14ac:dyDescent="0.25">
      <c r="A28" s="6" t="s">
        <v>80</v>
      </c>
      <c r="B28" s="6" t="s">
        <v>81</v>
      </c>
      <c r="C28" s="6" t="s">
        <v>79</v>
      </c>
      <c r="D28" s="6"/>
      <c r="E28" s="6"/>
      <c r="F28" s="6"/>
      <c r="G28" s="6"/>
    </row>
    <row r="29" spans="1:7" x14ac:dyDescent="0.25">
      <c r="A29" s="6" t="s">
        <v>69</v>
      </c>
      <c r="B29" s="6" t="s">
        <v>70</v>
      </c>
      <c r="C29" s="6" t="s">
        <v>71</v>
      </c>
      <c r="D29" s="6"/>
      <c r="E29" s="6"/>
      <c r="F29" s="6"/>
      <c r="G29" s="6"/>
    </row>
    <row r="30" spans="1:7" x14ac:dyDescent="0.25">
      <c r="A30" s="6" t="s">
        <v>94</v>
      </c>
      <c r="B30" s="6" t="s">
        <v>95</v>
      </c>
      <c r="C30" s="6" t="s">
        <v>96</v>
      </c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dcterms:created xsi:type="dcterms:W3CDTF">2026-01-27T14:50:04Z</dcterms:created>
  <dcterms:modified xsi:type="dcterms:W3CDTF">2026-03-24T15:02:51Z</dcterms:modified>
</cp:coreProperties>
</file>