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  <c r="B14" i="1"/>
  <c r="I14" i="1"/>
  <c r="B15" i="1"/>
  <c r="I15" i="1"/>
  <c r="B16" i="1"/>
  <c r="I16" i="1"/>
  <c r="B17" i="1"/>
  <c r="I17" i="1"/>
  <c r="B18" i="1"/>
  <c r="I18" i="1"/>
  <c r="B19" i="1"/>
  <c r="I19" i="1"/>
  <c r="B20" i="1"/>
  <c r="I20" i="1"/>
  <c r="B21" i="1"/>
  <c r="I21" i="1"/>
  <c r="B22" i="1"/>
  <c r="I22" i="1"/>
  <c r="B23" i="1"/>
  <c r="I23" i="1"/>
  <c r="B24" i="1"/>
  <c r="I24" i="1"/>
  <c r="B25" i="1"/>
  <c r="I25" i="1"/>
  <c r="B26" i="1"/>
  <c r="I26" i="1"/>
  <c r="B27" i="1"/>
  <c r="I27" i="1"/>
  <c r="B28" i="1"/>
  <c r="I28" i="1"/>
  <c r="B29" i="1"/>
  <c r="I29" i="1"/>
  <c r="B30" i="1"/>
  <c r="I30" i="1"/>
  <c r="B31" i="1"/>
  <c r="I31" i="1"/>
  <c r="B32" i="1"/>
  <c r="I32" i="1"/>
  <c r="B33" i="1"/>
  <c r="I33" i="1"/>
  <c r="B34" i="1"/>
  <c r="I34" i="1"/>
  <c r="B35" i="1"/>
  <c r="I35" i="1"/>
  <c r="B36" i="1"/>
  <c r="I36" i="1"/>
  <c r="B37" i="1"/>
  <c r="I37" i="1"/>
  <c r="B38" i="1"/>
  <c r="I38" i="1"/>
  <c r="B39" i="1"/>
  <c r="I39" i="1"/>
  <c r="B40" i="1"/>
  <c r="I40" i="1"/>
  <c r="B41" i="1"/>
  <c r="I41" i="1"/>
  <c r="B42" i="1"/>
  <c r="I42" i="1"/>
  <c r="B43" i="1"/>
  <c r="I43" i="1"/>
  <c r="B44" i="1"/>
  <c r="I44" i="1"/>
  <c r="B45" i="1"/>
  <c r="I45" i="1"/>
  <c r="B46" i="1"/>
  <c r="I46" i="1"/>
  <c r="B47" i="1"/>
  <c r="I47" i="1"/>
  <c r="B48" i="1"/>
  <c r="I48" i="1"/>
  <c r="B49" i="1"/>
  <c r="I49" i="1"/>
  <c r="B50" i="1"/>
  <c r="I50" i="1"/>
  <c r="B51" i="1"/>
  <c r="I51" i="1"/>
  <c r="B52" i="1"/>
  <c r="I52" i="1"/>
</calcChain>
</file>

<file path=xl/sharedStrings.xml><?xml version="1.0" encoding="utf-8"?>
<sst xmlns="http://schemas.openxmlformats.org/spreadsheetml/2006/main" count="908" uniqueCount="267">
  <si>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</si>
  <si>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</si>
  <si>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</si>
  <si>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</si>
  <si>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</si>
  <si>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</si>
  <si>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</si>
  <si>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</si>
  <si>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</si>
  <si>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</si>
  <si>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</si>
  <si>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</si>
  <si>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</si>
  <si>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</si>
  <si>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</si>
  <si>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</si>
  <si>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</si>
  <si>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</si>
  <si>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</si>
  <si>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</si>
  <si>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</si>
  <si>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</si>
  <si>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</si>
  <si>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</si>
  <si>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</si>
  <si>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</si>
  <si>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</si>
  <si>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</si>
  <si>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</si>
  <si>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</si>
  <si>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</si>
  <si>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</si>
  <si>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</si>
  <si>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</si>
  <si>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</si>
  <si>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</si>
  <si>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</si>
  <si>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</si>
  <si>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</si>
  <si>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</si>
  <si>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</si>
  <si>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</si>
  <si>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</si>
  <si>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</si>
  <si>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</si>
  <si>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</si>
  <si>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</si>
  <si>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</si>
  <si>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</si>
  <si>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</si>
  <si>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</si>
  <si>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</si>
  <si>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</si>
  <si>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</si>
  <si>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</si>
  <si>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</si>
  <si>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</si>
  <si>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</si>
  <si>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</si>
  <si>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</si>
  <si>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</si>
  <si>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</si>
  <si>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</si>
  <si>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</si>
  <si>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</si>
  <si>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</si>
  <si>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</si>
  <si>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</si>
  <si>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</si>
  <si>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</si>
  <si>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</si>
  <si>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</si>
  <si>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</si>
  <si>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</si>
  <si>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</si>
  <si>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</si>
  <si>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</si>
  <si>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</si>
  <si>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</si>
  <si>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</si>
  <si>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</si>
  <si>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</si>
  <si>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</si>
  <si>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</si>
  <si>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</si>
  <si>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</si>
  <si>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</si>
  <si>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</si>
  <si>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</si>
  <si>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</si>
  <si>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</si>
  <si>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</si>
  <si>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</si>
  <si>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</si>
  <si>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</si>
  <si>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</si>
  <si>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</si>
  <si>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</si>
  <si>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</si>
  <si>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</si>
  <si>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</si>
  <si>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</si>
  <si>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</si>
  <si>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</si>
  <si>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</si>
  <si>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</si>
  <si>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</si>
  <si>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</si>
  <si>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</si>
  <si>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</si>
  <si>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</si>
  <si>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</si>
  <si>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</si>
  <si>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</si>
  <si>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</si>
  <si>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</si>
  <si>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</si>
  <si>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</si>
  <si>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</si>
  <si>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</si>
  <si>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</si>
  <si>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</si>
  <si>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OESTE</t>
  </si>
  <si>
    <t>NORTE</t>
  </si>
  <si>
    <t>SUL</t>
  </si>
  <si>
    <t>CENTRO-SUL</t>
  </si>
  <si>
    <t>CENTRO-OESTE</t>
  </si>
  <si>
    <t>LESTE</t>
  </si>
  <si>
    <t>CENTRO -OESTE</t>
  </si>
  <si>
    <t>CENTRO -SUL</t>
  </si>
  <si>
    <t>RURAL</t>
  </si>
  <si>
    <t>3º OFÍCIO</t>
  </si>
  <si>
    <t>2º OFÍCIO</t>
  </si>
  <si>
    <t>1º OFÍCIO</t>
  </si>
  <si>
    <t>5º OFÍCIO</t>
  </si>
  <si>
    <t>4º OFÍCIO</t>
  </si>
  <si>
    <t>ATIVO</t>
  </si>
  <si>
    <t>DESATIVADO</t>
  </si>
  <si>
    <t>SEMSA</t>
  </si>
  <si>
    <t>23000</t>
  </si>
  <si>
    <t>Secretaria Municipal de Saúde</t>
  </si>
  <si>
    <t>Anexo da Feira da Compensa</t>
  </si>
  <si>
    <t>Feira Comunitária Osvaldo Frota</t>
  </si>
  <si>
    <t>Feira Comunitária Viver Melhor</t>
  </si>
  <si>
    <t>Feira do Mutirão</t>
  </si>
  <si>
    <t>Feira e Praça Municipal Polivalente</t>
  </si>
  <si>
    <t>Feira Municipal Cel. Jorge Teixeira - Manaus Moderna</t>
  </si>
  <si>
    <t>Feira Municipal da Alvorada II</t>
  </si>
  <si>
    <t>Feira Municipal da Banana</t>
  </si>
  <si>
    <t>Feira Municipal da Betânia</t>
  </si>
  <si>
    <t>Feira Municipal da Compensa II</t>
  </si>
  <si>
    <t>Feira Municipal da Conquista</t>
  </si>
  <si>
    <t>Feira Municipal da Glória</t>
  </si>
  <si>
    <t>Feira Municipal da Japiinlândia</t>
  </si>
  <si>
    <t>Feira Municipal da Maués</t>
  </si>
  <si>
    <t>Feira Municipal da Nova Esperança</t>
  </si>
  <si>
    <t>Feira Municipal da Panair</t>
  </si>
  <si>
    <t>Feira Municipal da Raiz</t>
  </si>
  <si>
    <t>Feira Municipal de São José II</t>
  </si>
  <si>
    <t>Feira Municipal do Armando Mendes</t>
  </si>
  <si>
    <t>Feira Municipal do Bairro da Paz</t>
  </si>
  <si>
    <t>Feira Municipal do Japiim</t>
  </si>
  <si>
    <t>Feira Municipal do Parque 10</t>
  </si>
  <si>
    <t>Feira Municipal do Produtor da Zona Leste</t>
  </si>
  <si>
    <t>Feira Municipal do Produtor de Santo Antônio</t>
  </si>
  <si>
    <t>Feira Municipal do Quarentão</t>
  </si>
  <si>
    <t>Feira Municipal do São Jorge</t>
  </si>
  <si>
    <t>Feira Municipal do 40</t>
  </si>
  <si>
    <t>Feira Municipal Eduardinho (Anexo à Feira Municipal da Banana)</t>
  </si>
  <si>
    <t>Feira Municipal Jardim dos Barés</t>
  </si>
  <si>
    <t>Feira Municipal João Sena</t>
  </si>
  <si>
    <t>Feira Municipal Mundo Novo</t>
  </si>
  <si>
    <t>Feira Municipal Nova Cidade</t>
  </si>
  <si>
    <t>Feira Municipal Pe. Rogerio Ruvoletto</t>
  </si>
  <si>
    <t>Mercado Municipal Adolpho Lisboa</t>
  </si>
  <si>
    <t>Mercado Municipal Araújo Lima</t>
  </si>
  <si>
    <t>Mercado Municipal Carneiro da Mota</t>
  </si>
  <si>
    <t>Mercado Municipal Jorge de Moraes</t>
  </si>
  <si>
    <t>Mini-Shopping - NAC da Compensa</t>
  </si>
  <si>
    <t>Sede SEMACC (Secretaria Municipal de Agricultura, Abastecimento, Centro e Comércio Informal</t>
  </si>
  <si>
    <t>Unidade Agrícola do Pau Rosa</t>
  </si>
  <si>
    <t>Anexo do Departamento de Agricultura e Abastecimento (DAA)</t>
  </si>
  <si>
    <t xml:space="preserve">Feira Coberta do Alvorada I     </t>
  </si>
  <si>
    <t xml:space="preserve">Feira Coberta do Coroado   </t>
  </si>
  <si>
    <t xml:space="preserve">Mercado Municipal Walter Rayol        </t>
  </si>
  <si>
    <t xml:space="preserve">Mercado Municipal Dorval Porto      </t>
  </si>
  <si>
    <t xml:space="preserve">Mercado Municipal Senador Cunha Melo   </t>
  </si>
  <si>
    <t xml:space="preserve">Feira Coberta São Francisco     </t>
  </si>
  <si>
    <t>Feira Municipal Coberta Jorge Texeira I</t>
  </si>
  <si>
    <t xml:space="preserve">Mercado Municipal Maximíno Corrêa      </t>
  </si>
  <si>
    <t>SIGLA UG</t>
  </si>
  <si>
    <t>Lei nº 3071, 15/06/2023</t>
  </si>
  <si>
    <t>004/2022</t>
  </si>
  <si>
    <t>007/2021</t>
  </si>
  <si>
    <t>009/2021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</si>
  <si>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</si>
  <si>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</si>
  <si>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</si>
  <si>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</si>
  <si>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</si>
  <si>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</si>
  <si>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</si>
  <si>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</si>
  <si>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</si>
  <si>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</si>
  <si>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</si>
  <si>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R. Lima e Silva, 02 - Conjunto Mucuripe - Parque 10 de Novembro - CEP 69.055-717</t>
  </si>
  <si>
    <t>R. Rafael Assayag (antiga Rua 5), S/N - Alvorada I - CEP 69.043-130</t>
  </si>
  <si>
    <t>Av. Cosme Ferreira, 6.039 (Estrada do Aleixo, Km 5) - Coroado - CEP 69.082-230</t>
  </si>
  <si>
    <t>Av. Sete de Setembro, S/N - Cachoeirinha - CEP 69.005-140</t>
  </si>
  <si>
    <t>Av. Djalma Batista, 214 - Nossa Senhora das Graças - CEP 69.053-000</t>
  </si>
  <si>
    <t>Av. Constantino Nery, S/N - Centro - CEP: 69.010-160</t>
  </si>
  <si>
    <t>R. General Carneiro, S/N - Bairro: São Francisco - CEP 69.079-020</t>
  </si>
  <si>
    <t>Av. Brigadeiro Hilário Gurjão, nº 779 - Jorge Teixeira - CEP 69.088-000</t>
  </si>
  <si>
    <t>R. Emilio Moreira, S/N - Bairro: Praça 14 de Janeiro - 69.020-040</t>
  </si>
  <si>
    <t>Av. Brasil, S/N - Compensa - CEP 69.036-110</t>
  </si>
  <si>
    <t>Av. H, S/Nºº - Conjunto Américo Medeiros - Cidade Nova - CEP 69.000-000</t>
  </si>
  <si>
    <t>Rua Ágata Azul, S/Nº° - Residencial Viver Melhor - Lago Azul - CEP 69.018-608</t>
  </si>
  <si>
    <t>Rua Penetração III, S/Nºº - Amazonino Mendes - CEP 69.000-000</t>
  </si>
  <si>
    <t>Av. Polivalente, S/Nºº - Japiim - ZONA Sul - CEP 69.078-260</t>
  </si>
  <si>
    <t>Rua Barão de São Domingos, 268 - Centro - CEP 69.005-010</t>
  </si>
  <si>
    <t>Av. J, S/Nºº - Alvorada II - CEP 69.000-000</t>
  </si>
  <si>
    <t>Rua Pedro Botelho, S/Nº° - Centro - CEP 69.005-100</t>
  </si>
  <si>
    <t>Av. Adalberto Vale, S/Nº° - Betânia - CEP 69.000-000</t>
  </si>
  <si>
    <t>Av. São Pedro, S/Nºº - Compensa II - CEP 69.000-000</t>
  </si>
  <si>
    <t>Av. Penetração, S/Nºº- Grande Vitória - CEP 69.000-000</t>
  </si>
  <si>
    <t>Rua São Bento, S/Nºº - Glória - CEP 69.027-490</t>
  </si>
  <si>
    <t>Rua Portugal, S/Nº° - Japiinlândia - CEP 69.000-000</t>
  </si>
  <si>
    <t>Rua Maués, S/Nº° - Cachoeirinha - CEP 69.065-070</t>
  </si>
  <si>
    <t>Rua Nova Esperança, S/Nº° - Colônia Antônio Aleixo - CEP 69.008-110</t>
  </si>
  <si>
    <t>Rua Bento José de Lima, S/Nºº - Educandos - CEP 69.000-000</t>
  </si>
  <si>
    <t>Rua Delfim de Souza, S/Nºº - Raiz - CEP 69.068-020</t>
  </si>
  <si>
    <t>Rua Raimundo Soares, S/Nºº - São José II - CEP 69.000-000</t>
  </si>
  <si>
    <t>Rua Perimetral, S/Nºº - Armando Mendes - CEP 69.089-340</t>
  </si>
  <si>
    <t>Av. Esperança, S/Nºº - Bairro da Paz - CEP 69.000-000</t>
  </si>
  <si>
    <t>Av. Rodrigo Otávio, S/Nºº - Japiim - CEP 69.000-000</t>
  </si>
  <si>
    <t>Rua do Comércio, S/Nºº - Parque Dez - CEP 69.055-000</t>
  </si>
  <si>
    <t>Rua Autaz Mirim, S/Nºº - Jorge Teixeira - CEP 69.088-245</t>
  </si>
  <si>
    <t>Rua São José, S/Nºº - Santo Antônio - CEP 69.000-000</t>
  </si>
  <si>
    <t>Rua 1º de Maio, S/Nºº - São Jorge - CEP 69.033-380</t>
  </si>
  <si>
    <t>Rua DRua Odilon, S/Nº - Japiim - CEP 69.000-000</t>
  </si>
  <si>
    <t>Rua Pedro Botelho, S/Nº - Centro - CEP 69.005-100</t>
  </si>
  <si>
    <t>Rua Jardim Botânico, S/Nº - São Jorge - CEP 69.000-000</t>
  </si>
  <si>
    <t>Rua 07, S/Nº - Alvorada I - CEP 69.000-000</t>
  </si>
  <si>
    <t>Rua 07, S/Nº - Cidade Nova - CEP 69.000-000</t>
  </si>
  <si>
    <t>Av. Margarita, 1601 - Cidade Nova - CEP 69.097-207</t>
  </si>
  <si>
    <t>Rua Samambaia, S/Nº - Santa Etelvina - CEP 69.059-500</t>
  </si>
  <si>
    <t>Rua Dos Bares, S/Nº - Centro - CEP 69.005-020</t>
  </si>
  <si>
    <t>Rua São Benedito, S/Nºº - Morro da Liberdade - CEP 69.000-000</t>
  </si>
  <si>
    <t>Av. Leopoldo Peres, S/Nºº - Educandos - CEP 69.000-000</t>
  </si>
  <si>
    <t>Av. Brasil, 2470 - Compensa I -  CEP 69.036-110</t>
  </si>
  <si>
    <t>Av. Carvalho Paes de Andrade, 140 - São Francisco - CEP 69.079-270</t>
  </si>
  <si>
    <t>Rm. Pau Rosa, Km 15, 4 - BR 174 - Área Terrestre - CEP 69.000-000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</si>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</sst>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abSelected="1" zoomScaleNormal="100" workbookViewId="0">
      <pane ySplit="3" topLeftCell="A4" activePane="bottomLeft" state="frozen"/>
      <selection pane="bottomLeft" activeCell="B58" sqref="B58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4" customFormat="1" ht="15.7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23" customFormat="1" ht="15.75" customHeight="1" x14ac:dyDescent="0.2">
      <c r="A2" s="20" t="s">
        <v>266</v>
      </c>
      <c r="B2" s="20" t="s">
        <v>266</v>
      </c>
      <c r="C2" s="22"/>
      <c r="D2" s="22"/>
      <c r="E2" s="22"/>
      <c r="F2" s="22"/>
      <c r="G2" s="22"/>
      <c r="H2" s="22"/>
      <c r="I2" s="22"/>
      <c r="J2" s="22"/>
      <c r="K2" s="19"/>
      <c r="L2" s="22" t="s">
        <v>266</v>
      </c>
      <c r="M2" s="21" t="s">
        <v>253</v>
      </c>
      <c r="N2" s="20" t="s">
        <v>254</v>
      </c>
      <c r="O2" s="20" t="s">
        <v>255</v>
      </c>
      <c r="P2" s="20" t="s">
        <v>256</v>
      </c>
      <c r="Q2" s="20" t="s">
        <v>257</v>
      </c>
      <c r="R2" s="20" t="s">
        <v>258</v>
      </c>
      <c r="S2" s="20" t="s">
        <v>259</v>
      </c>
      <c r="T2" s="20" t="s">
        <v>260</v>
      </c>
      <c r="U2" s="20" t="s">
        <v>261</v>
      </c>
      <c r="V2" s="20" t="s">
        <v>262</v>
      </c>
      <c r="W2" s="20" t="s">
        <v>263</v>
      </c>
      <c r="X2" s="20" t="s">
        <v>264</v>
      </c>
      <c r="Y2" s="20" t="s">
        <v>265</v>
      </c>
    </row>
    <row r="3" spans="1:26" s="2" customFormat="1" ht="25.5" customHeight="1" thickBot="1" x14ac:dyDescent="0.3">
      <c r="A3" s="15" t="s">
        <v>190</v>
      </c>
      <c r="B3" s="16" t="s">
        <v>38</v>
      </c>
      <c r="C3" s="16" t="s">
        <v>197</v>
      </c>
      <c r="D3" s="16" t="s">
        <v>198</v>
      </c>
      <c r="E3" s="16" t="s">
        <v>199</v>
      </c>
      <c r="F3" s="16" t="s">
        <v>200</v>
      </c>
      <c r="G3" s="16" t="s">
        <v>201</v>
      </c>
      <c r="H3" s="16" t="s">
        <v>202</v>
      </c>
      <c r="I3" s="16" t="s">
        <v>203</v>
      </c>
      <c r="J3" s="16" t="s">
        <v>204</v>
      </c>
      <c r="K3" s="16" t="s">
        <v>205</v>
      </c>
      <c r="L3" s="16" t="s">
        <v>3</v>
      </c>
      <c r="M3" s="16" t="s">
        <v>15</v>
      </c>
      <c r="N3" s="16" t="s">
        <v>6</v>
      </c>
      <c r="O3" s="16" t="s">
        <v>7</v>
      </c>
      <c r="P3" s="16" t="s">
        <v>196</v>
      </c>
      <c r="Q3" s="16" t="s">
        <v>0</v>
      </c>
      <c r="R3" s="16" t="s">
        <v>8</v>
      </c>
      <c r="S3" s="16" t="s">
        <v>9</v>
      </c>
      <c r="T3" s="16" t="s">
        <v>75</v>
      </c>
      <c r="U3" s="16" t="s">
        <v>10</v>
      </c>
      <c r="V3" s="16" t="s">
        <v>11</v>
      </c>
      <c r="W3" s="16" t="s">
        <v>5</v>
      </c>
      <c r="X3" s="16" t="s">
        <v>13</v>
      </c>
      <c r="Y3" s="17" t="s">
        <v>12</v>
      </c>
    </row>
    <row r="4" spans="1:26" x14ac:dyDescent="0.2">
      <c r="A4" s="3" t="s">
        <v>97</v>
      </c>
      <c r="B4" s="3" t="str">
        <f>VLOOKUP(A4,Listas!A$3:C$30,3,0)</f>
        <v>Secretaria Municipal de Agricultura, Abastecimento, Centro e Comércio Informal</v>
      </c>
      <c r="C4" s="12" t="s">
        <v>141</v>
      </c>
      <c r="D4" s="3" t="s">
        <v>122</v>
      </c>
      <c r="E4" s="3"/>
      <c r="F4" s="3"/>
      <c r="G4" s="3"/>
      <c r="H4" s="5"/>
      <c r="I4" s="5">
        <f t="shared" ref="I4:I46" si="0">H4+L4</f>
        <v>0</v>
      </c>
      <c r="J4" s="3"/>
      <c r="K4" s="3" t="s">
        <v>195</v>
      </c>
      <c r="L4" s="5">
        <v>0</v>
      </c>
      <c r="M4" s="10">
        <v>86</v>
      </c>
      <c r="N4" s="11" t="s">
        <v>195</v>
      </c>
      <c r="O4" s="3" t="s">
        <v>195</v>
      </c>
      <c r="P4" s="3" t="s">
        <v>195</v>
      </c>
      <c r="Q4" s="12" t="s">
        <v>215</v>
      </c>
      <c r="R4" s="3" t="s">
        <v>195</v>
      </c>
      <c r="S4" s="13" t="s">
        <v>195</v>
      </c>
      <c r="T4" s="10" t="str">
        <f>VLOOKUP(A4,Listas!A$3:C$30,2,0)</f>
        <v>41101</v>
      </c>
      <c r="U4" s="3" t="s">
        <v>195</v>
      </c>
      <c r="V4" s="3" t="s">
        <v>195</v>
      </c>
      <c r="W4" s="5" t="s">
        <v>195</v>
      </c>
      <c r="X4" s="3" t="s">
        <v>195</v>
      </c>
      <c r="Y4" s="3" t="s">
        <v>195</v>
      </c>
    </row>
    <row r="5" spans="1:26" x14ac:dyDescent="0.2">
      <c r="A5" s="3" t="s">
        <v>97</v>
      </c>
      <c r="B5" s="3" t="str">
        <f>VLOOKUP(A5,Listas!A$3:C$30,3,0)</f>
        <v>Secretaria Municipal de Agricultura, Abastecimento, Centro e Comércio Informal</v>
      </c>
      <c r="C5" s="12" t="s">
        <v>142</v>
      </c>
      <c r="D5" s="3" t="s">
        <v>123</v>
      </c>
      <c r="E5" s="3"/>
      <c r="F5" s="3"/>
      <c r="G5" s="3"/>
      <c r="H5" s="5"/>
      <c r="I5" s="5">
        <f t="shared" si="0"/>
        <v>0</v>
      </c>
      <c r="J5" s="3"/>
      <c r="K5" s="3" t="s">
        <v>195</v>
      </c>
      <c r="L5" s="5">
        <v>0</v>
      </c>
      <c r="M5" s="10">
        <v>87</v>
      </c>
      <c r="N5" s="11" t="s">
        <v>195</v>
      </c>
      <c r="O5" s="3" t="s">
        <v>195</v>
      </c>
      <c r="P5" s="3" t="s">
        <v>195</v>
      </c>
      <c r="Q5" s="12" t="s">
        <v>216</v>
      </c>
      <c r="R5" s="3" t="s">
        <v>195</v>
      </c>
      <c r="S5" s="13" t="s">
        <v>195</v>
      </c>
      <c r="T5" s="10" t="str">
        <f>VLOOKUP(A5,Listas!A$3:C$30,2,0)</f>
        <v>41101</v>
      </c>
      <c r="U5" s="3" t="s">
        <v>195</v>
      </c>
      <c r="V5" s="3" t="s">
        <v>195</v>
      </c>
      <c r="W5" s="5" t="s">
        <v>195</v>
      </c>
      <c r="X5" s="3" t="s">
        <v>195</v>
      </c>
      <c r="Y5" s="3" t="s">
        <v>195</v>
      </c>
    </row>
    <row r="6" spans="1:26" x14ac:dyDescent="0.2">
      <c r="A6" s="3" t="s">
        <v>97</v>
      </c>
      <c r="B6" s="3" t="str">
        <f>VLOOKUP(A6,Listas!A$3:C$30,3,0)</f>
        <v>Secretaria Municipal de Agricultura, Abastecimento, Centro e Comércio Informal</v>
      </c>
      <c r="C6" s="12" t="s">
        <v>143</v>
      </c>
      <c r="D6" s="3" t="s">
        <v>123</v>
      </c>
      <c r="E6" s="3"/>
      <c r="F6" s="3" t="s">
        <v>133</v>
      </c>
      <c r="G6" s="3">
        <v>59573</v>
      </c>
      <c r="H6" s="5"/>
      <c r="I6" s="5">
        <f t="shared" si="0"/>
        <v>0</v>
      </c>
      <c r="J6" s="3"/>
      <c r="K6" s="3" t="s">
        <v>195</v>
      </c>
      <c r="L6" s="5">
        <v>0</v>
      </c>
      <c r="M6" s="10">
        <v>88</v>
      </c>
      <c r="N6" s="11" t="s">
        <v>195</v>
      </c>
      <c r="O6" s="3" t="s">
        <v>195</v>
      </c>
      <c r="P6" s="3" t="s">
        <v>195</v>
      </c>
      <c r="Q6" s="12" t="s">
        <v>217</v>
      </c>
      <c r="R6" s="3" t="s">
        <v>195</v>
      </c>
      <c r="S6" s="13" t="s">
        <v>195</v>
      </c>
      <c r="T6" s="10" t="str">
        <f>VLOOKUP(A6,Listas!A$3:C$30,2,0)</f>
        <v>41101</v>
      </c>
      <c r="U6" s="3" t="s">
        <v>195</v>
      </c>
      <c r="V6" s="3" t="s">
        <v>195</v>
      </c>
      <c r="W6" s="5" t="s">
        <v>195</v>
      </c>
      <c r="X6" s="3" t="s">
        <v>195</v>
      </c>
      <c r="Y6" s="3" t="s">
        <v>195</v>
      </c>
    </row>
    <row r="7" spans="1:26" x14ac:dyDescent="0.2">
      <c r="A7" s="3" t="s">
        <v>97</v>
      </c>
      <c r="B7" s="3" t="str">
        <f>VLOOKUP(A7,Listas!A$3:C$30,3,0)</f>
        <v>Secretaria Municipal de Agricultura, Abastecimento, Centro e Comércio Informal</v>
      </c>
      <c r="C7" s="12" t="s">
        <v>144</v>
      </c>
      <c r="D7" s="3" t="s">
        <v>123</v>
      </c>
      <c r="E7" s="3"/>
      <c r="F7" s="3"/>
      <c r="G7" s="3"/>
      <c r="H7" s="5"/>
      <c r="I7" s="5">
        <f t="shared" si="0"/>
        <v>0</v>
      </c>
      <c r="J7" s="3"/>
      <c r="K7" s="3" t="s">
        <v>195</v>
      </c>
      <c r="L7" s="5">
        <v>0</v>
      </c>
      <c r="M7" s="10">
        <v>89</v>
      </c>
      <c r="N7" s="11" t="s">
        <v>195</v>
      </c>
      <c r="O7" s="3" t="s">
        <v>195</v>
      </c>
      <c r="P7" s="3" t="s">
        <v>195</v>
      </c>
      <c r="Q7" s="12" t="s">
        <v>218</v>
      </c>
      <c r="R7" s="3" t="s">
        <v>195</v>
      </c>
      <c r="S7" s="13" t="s">
        <v>195</v>
      </c>
      <c r="T7" s="10" t="str">
        <f>VLOOKUP(A7,Listas!A$3:C$30,2,0)</f>
        <v>41101</v>
      </c>
      <c r="U7" s="3" t="s">
        <v>195</v>
      </c>
      <c r="V7" s="3" t="s">
        <v>195</v>
      </c>
      <c r="W7" s="5" t="s">
        <v>195</v>
      </c>
      <c r="X7" s="3" t="s">
        <v>195</v>
      </c>
      <c r="Y7" s="3" t="s">
        <v>195</v>
      </c>
    </row>
    <row r="8" spans="1:26" x14ac:dyDescent="0.2">
      <c r="A8" s="3" t="s">
        <v>97</v>
      </c>
      <c r="B8" s="3" t="str">
        <f>VLOOKUP(A8,Listas!A$3:C$30,3,0)</f>
        <v>Secretaria Municipal de Agricultura, Abastecimento, Centro e Comércio Informal</v>
      </c>
      <c r="C8" s="12" t="s">
        <v>145</v>
      </c>
      <c r="D8" s="3" t="s">
        <v>124</v>
      </c>
      <c r="E8" s="3"/>
      <c r="F8" s="3"/>
      <c r="G8" s="3"/>
      <c r="H8" s="5"/>
      <c r="I8" s="5">
        <f t="shared" si="0"/>
        <v>0</v>
      </c>
      <c r="J8" s="3"/>
      <c r="K8" s="3" t="s">
        <v>195</v>
      </c>
      <c r="L8" s="5">
        <v>0</v>
      </c>
      <c r="M8" s="10">
        <v>90</v>
      </c>
      <c r="N8" s="11" t="s">
        <v>195</v>
      </c>
      <c r="O8" s="3" t="s">
        <v>195</v>
      </c>
      <c r="P8" s="3" t="s">
        <v>195</v>
      </c>
      <c r="Q8" s="12" t="s">
        <v>219</v>
      </c>
      <c r="R8" s="3" t="s">
        <v>195</v>
      </c>
      <c r="S8" s="13" t="s">
        <v>195</v>
      </c>
      <c r="T8" s="10" t="str">
        <f>VLOOKUP(A8,Listas!A$3:C$30,2,0)</f>
        <v>41101</v>
      </c>
      <c r="U8" s="3" t="s">
        <v>195</v>
      </c>
      <c r="V8" s="3" t="s">
        <v>195</v>
      </c>
      <c r="W8" s="5" t="s">
        <v>195</v>
      </c>
      <c r="X8" s="3" t="s">
        <v>195</v>
      </c>
      <c r="Y8" s="3" t="s">
        <v>195</v>
      </c>
    </row>
    <row r="9" spans="1:26" x14ac:dyDescent="0.2">
      <c r="A9" s="3" t="s">
        <v>97</v>
      </c>
      <c r="B9" s="3" t="str">
        <f>VLOOKUP(A9,Listas!A$3:C$30,3,0)</f>
        <v>Secretaria Municipal de Agricultura, Abastecimento, Centro e Comércio Informal</v>
      </c>
      <c r="C9" s="12" t="s">
        <v>146</v>
      </c>
      <c r="D9" s="3" t="s">
        <v>124</v>
      </c>
      <c r="E9" s="3"/>
      <c r="F9" s="3"/>
      <c r="G9" s="3"/>
      <c r="H9" s="5"/>
      <c r="I9" s="5">
        <f t="shared" si="0"/>
        <v>0</v>
      </c>
      <c r="J9" s="3"/>
      <c r="K9" s="3" t="s">
        <v>195</v>
      </c>
      <c r="L9" s="5">
        <v>0</v>
      </c>
      <c r="M9" s="10">
        <v>91</v>
      </c>
      <c r="N9" s="11" t="s">
        <v>195</v>
      </c>
      <c r="O9" s="3" t="s">
        <v>195</v>
      </c>
      <c r="P9" s="3" t="s">
        <v>195</v>
      </c>
      <c r="Q9" s="12" t="s">
        <v>220</v>
      </c>
      <c r="R9" s="3" t="s">
        <v>195</v>
      </c>
      <c r="S9" s="13" t="s">
        <v>195</v>
      </c>
      <c r="T9" s="10" t="str">
        <f>VLOOKUP(A9,Listas!A$3:C$30,2,0)</f>
        <v>41101</v>
      </c>
      <c r="U9" s="3" t="s">
        <v>195</v>
      </c>
      <c r="V9" s="3" t="s">
        <v>195</v>
      </c>
      <c r="W9" s="5" t="s">
        <v>195</v>
      </c>
      <c r="X9" s="3" t="s">
        <v>195</v>
      </c>
      <c r="Y9" s="3" t="s">
        <v>195</v>
      </c>
    </row>
    <row r="10" spans="1:26" x14ac:dyDescent="0.2">
      <c r="A10" s="3" t="s">
        <v>97</v>
      </c>
      <c r="B10" s="3" t="str">
        <f>VLOOKUP(A10,Listas!A$3:C$30,3,0)</f>
        <v>Secretaria Municipal de Agricultura, Abastecimento, Centro e Comércio Informal</v>
      </c>
      <c r="C10" s="12" t="s">
        <v>147</v>
      </c>
      <c r="D10" s="3" t="s">
        <v>128</v>
      </c>
      <c r="E10" s="3"/>
      <c r="F10" s="3" t="s">
        <v>131</v>
      </c>
      <c r="G10" s="3">
        <v>31726</v>
      </c>
      <c r="H10" s="5"/>
      <c r="I10" s="5">
        <f t="shared" si="0"/>
        <v>0</v>
      </c>
      <c r="J10" s="3"/>
      <c r="K10" s="3" t="s">
        <v>195</v>
      </c>
      <c r="L10" s="5">
        <v>0</v>
      </c>
      <c r="M10" s="10">
        <v>92</v>
      </c>
      <c r="N10" s="11" t="s">
        <v>195</v>
      </c>
      <c r="O10" s="3" t="s">
        <v>195</v>
      </c>
      <c r="P10" s="3" t="s">
        <v>195</v>
      </c>
      <c r="Q10" s="12" t="s">
        <v>221</v>
      </c>
      <c r="R10" s="3" t="s">
        <v>195</v>
      </c>
      <c r="S10" s="13" t="s">
        <v>195</v>
      </c>
      <c r="T10" s="10" t="str">
        <f>VLOOKUP(A10,Listas!A$3:C$30,2,0)</f>
        <v>41101</v>
      </c>
      <c r="U10" s="3" t="s">
        <v>195</v>
      </c>
      <c r="V10" s="3" t="s">
        <v>195</v>
      </c>
      <c r="W10" s="5" t="s">
        <v>195</v>
      </c>
      <c r="X10" s="3" t="s">
        <v>195</v>
      </c>
      <c r="Y10" s="3" t="s">
        <v>195</v>
      </c>
    </row>
    <row r="11" spans="1:26" x14ac:dyDescent="0.2">
      <c r="A11" s="3" t="s">
        <v>97</v>
      </c>
      <c r="B11" s="3" t="str">
        <f>VLOOKUP(A11,Listas!A$3:C$30,3,0)</f>
        <v>Secretaria Municipal de Agricultura, Abastecimento, Centro e Comércio Informal</v>
      </c>
      <c r="C11" s="12" t="s">
        <v>148</v>
      </c>
      <c r="D11" s="3" t="s">
        <v>124</v>
      </c>
      <c r="E11" s="3"/>
      <c r="F11" s="3"/>
      <c r="G11" s="3"/>
      <c r="H11" s="5"/>
      <c r="I11" s="5">
        <f t="shared" si="0"/>
        <v>0</v>
      </c>
      <c r="J11" s="3"/>
      <c r="K11" s="3" t="s">
        <v>195</v>
      </c>
      <c r="L11" s="5">
        <v>0</v>
      </c>
      <c r="M11" s="10">
        <v>93</v>
      </c>
      <c r="N11" s="11" t="s">
        <v>195</v>
      </c>
      <c r="O11" s="3" t="s">
        <v>195</v>
      </c>
      <c r="P11" s="3" t="s">
        <v>195</v>
      </c>
      <c r="Q11" s="12" t="s">
        <v>222</v>
      </c>
      <c r="R11" s="3" t="s">
        <v>195</v>
      </c>
      <c r="S11" s="13" t="s">
        <v>195</v>
      </c>
      <c r="T11" s="10" t="str">
        <f>VLOOKUP(A11,Listas!A$3:C$30,2,0)</f>
        <v>41101</v>
      </c>
      <c r="U11" s="3" t="s">
        <v>195</v>
      </c>
      <c r="V11" s="3" t="s">
        <v>195</v>
      </c>
      <c r="W11" s="5" t="s">
        <v>195</v>
      </c>
      <c r="X11" s="3" t="s">
        <v>195</v>
      </c>
      <c r="Y11" s="3" t="s">
        <v>195</v>
      </c>
    </row>
    <row r="12" spans="1:26" x14ac:dyDescent="0.2">
      <c r="A12" s="3" t="s">
        <v>97</v>
      </c>
      <c r="B12" s="3" t="str">
        <f>VLOOKUP(A12,Listas!A$3:C$30,3,0)</f>
        <v>Secretaria Municipal de Agricultura, Abastecimento, Centro e Comércio Informal</v>
      </c>
      <c r="C12" s="12" t="s">
        <v>149</v>
      </c>
      <c r="D12" s="3" t="s">
        <v>124</v>
      </c>
      <c r="E12" s="3"/>
      <c r="F12" s="3"/>
      <c r="G12" s="3"/>
      <c r="H12" s="5"/>
      <c r="I12" s="5">
        <f t="shared" si="0"/>
        <v>0</v>
      </c>
      <c r="J12" s="3"/>
      <c r="K12" s="3" t="s">
        <v>195</v>
      </c>
      <c r="L12" s="5">
        <v>0</v>
      </c>
      <c r="M12" s="10">
        <v>94</v>
      </c>
      <c r="N12" s="11" t="s">
        <v>195</v>
      </c>
      <c r="O12" s="3" t="s">
        <v>195</v>
      </c>
      <c r="P12" s="3" t="s">
        <v>195</v>
      </c>
      <c r="Q12" s="12" t="s">
        <v>223</v>
      </c>
      <c r="R12" s="3" t="s">
        <v>195</v>
      </c>
      <c r="S12" s="13" t="s">
        <v>195</v>
      </c>
      <c r="T12" s="10" t="str">
        <f>VLOOKUP(A12,Listas!A$3:C$30,2,0)</f>
        <v>41101</v>
      </c>
      <c r="U12" s="3" t="s">
        <v>195</v>
      </c>
      <c r="V12" s="3" t="s">
        <v>195</v>
      </c>
      <c r="W12" s="5" t="s">
        <v>195</v>
      </c>
      <c r="X12" s="3" t="s">
        <v>195</v>
      </c>
      <c r="Y12" s="3" t="s">
        <v>195</v>
      </c>
    </row>
    <row r="13" spans="1:26" x14ac:dyDescent="0.2">
      <c r="A13" s="3" t="s">
        <v>97</v>
      </c>
      <c r="B13" s="3" t="str">
        <f>VLOOKUP(A13,Listas!A$3:C$30,3,0)</f>
        <v>Secretaria Municipal de Agricultura, Abastecimento, Centro e Comércio Informal</v>
      </c>
      <c r="C13" s="12" t="s">
        <v>150</v>
      </c>
      <c r="D13" s="3" t="s">
        <v>122</v>
      </c>
      <c r="E13" s="3"/>
      <c r="F13" s="3"/>
      <c r="G13" s="3"/>
      <c r="H13" s="5"/>
      <c r="I13" s="5">
        <f t="shared" si="0"/>
        <v>0</v>
      </c>
      <c r="J13" s="3"/>
      <c r="K13" s="3" t="s">
        <v>195</v>
      </c>
      <c r="L13" s="5">
        <v>0</v>
      </c>
      <c r="M13" s="10">
        <v>95</v>
      </c>
      <c r="N13" s="11" t="s">
        <v>195</v>
      </c>
      <c r="O13" s="3" t="s">
        <v>195</v>
      </c>
      <c r="P13" s="3" t="s">
        <v>195</v>
      </c>
      <c r="Q13" s="12" t="s">
        <v>224</v>
      </c>
      <c r="R13" s="3" t="s">
        <v>195</v>
      </c>
      <c r="S13" s="13" t="s">
        <v>195</v>
      </c>
      <c r="T13" s="10" t="str">
        <f>VLOOKUP(A13,Listas!A$3:C$30,2,0)</f>
        <v>41101</v>
      </c>
      <c r="U13" s="3" t="s">
        <v>195</v>
      </c>
      <c r="V13" s="3" t="s">
        <v>195</v>
      </c>
      <c r="W13" s="5" t="s">
        <v>195</v>
      </c>
      <c r="X13" s="3" t="s">
        <v>195</v>
      </c>
      <c r="Y13" s="3" t="s">
        <v>195</v>
      </c>
    </row>
    <row r="14" spans="1:26" x14ac:dyDescent="0.2">
      <c r="A14" s="3" t="s">
        <v>97</v>
      </c>
      <c r="B14" s="3" t="str">
        <f>VLOOKUP(A14,Listas!A$3:C$30,3,0)</f>
        <v>Secretaria Municipal de Agricultura, Abastecimento, Centro e Comércio Informal</v>
      </c>
      <c r="C14" s="12" t="s">
        <v>151</v>
      </c>
      <c r="D14" s="3" t="s">
        <v>127</v>
      </c>
      <c r="E14" s="3"/>
      <c r="F14" s="3"/>
      <c r="G14" s="3"/>
      <c r="H14" s="5"/>
      <c r="I14" s="5">
        <f t="shared" si="0"/>
        <v>0</v>
      </c>
      <c r="J14" s="3"/>
      <c r="K14" s="3" t="s">
        <v>195</v>
      </c>
      <c r="L14" s="5">
        <v>0</v>
      </c>
      <c r="M14" s="10">
        <v>96</v>
      </c>
      <c r="N14" s="11" t="s">
        <v>195</v>
      </c>
      <c r="O14" s="3" t="s">
        <v>195</v>
      </c>
      <c r="P14" s="3" t="s">
        <v>195</v>
      </c>
      <c r="Q14" s="12" t="s">
        <v>225</v>
      </c>
      <c r="R14" s="3" t="s">
        <v>195</v>
      </c>
      <c r="S14" s="13" t="s">
        <v>195</v>
      </c>
      <c r="T14" s="10" t="str">
        <f>VLOOKUP(A14,Listas!A$3:C$30,2,0)</f>
        <v>41101</v>
      </c>
      <c r="U14" s="3" t="s">
        <v>195</v>
      </c>
      <c r="V14" s="3" t="s">
        <v>195</v>
      </c>
      <c r="W14" s="5" t="s">
        <v>195</v>
      </c>
      <c r="X14" s="3" t="s">
        <v>195</v>
      </c>
      <c r="Y14" s="3" t="s">
        <v>195</v>
      </c>
    </row>
    <row r="15" spans="1:26" x14ac:dyDescent="0.2">
      <c r="A15" s="3" t="s">
        <v>97</v>
      </c>
      <c r="B15" s="3" t="str">
        <f>VLOOKUP(A15,Listas!A$3:C$30,3,0)</f>
        <v>Secretaria Municipal de Agricultura, Abastecimento, Centro e Comércio Informal</v>
      </c>
      <c r="C15" s="12" t="s">
        <v>152</v>
      </c>
      <c r="D15" s="3" t="s">
        <v>122</v>
      </c>
      <c r="E15" s="3"/>
      <c r="F15" s="3" t="s">
        <v>131</v>
      </c>
      <c r="G15" s="3">
        <v>29393</v>
      </c>
      <c r="H15" s="5"/>
      <c r="I15" s="5">
        <f t="shared" si="0"/>
        <v>0</v>
      </c>
      <c r="J15" s="3"/>
      <c r="K15" s="3" t="s">
        <v>195</v>
      </c>
      <c r="L15" s="5">
        <v>0</v>
      </c>
      <c r="M15" s="10">
        <v>97</v>
      </c>
      <c r="N15" s="11" t="s">
        <v>195</v>
      </c>
      <c r="O15" s="3" t="s">
        <v>195</v>
      </c>
      <c r="P15" s="3" t="s">
        <v>195</v>
      </c>
      <c r="Q15" s="12" t="s">
        <v>226</v>
      </c>
      <c r="R15" s="3" t="s">
        <v>195</v>
      </c>
      <c r="S15" s="13" t="s">
        <v>195</v>
      </c>
      <c r="T15" s="10" t="str">
        <f>VLOOKUP(A15,Listas!A$3:C$30,2,0)</f>
        <v>41101</v>
      </c>
      <c r="U15" s="3" t="s">
        <v>195</v>
      </c>
      <c r="V15" s="3" t="s">
        <v>195</v>
      </c>
      <c r="W15" s="5" t="s">
        <v>195</v>
      </c>
      <c r="X15" s="3" t="s">
        <v>195</v>
      </c>
      <c r="Y15" s="3" t="s">
        <v>195</v>
      </c>
    </row>
    <row r="16" spans="1:26" x14ac:dyDescent="0.2">
      <c r="A16" s="3" t="s">
        <v>97</v>
      </c>
      <c r="B16" s="3" t="str">
        <f>VLOOKUP(A16,Listas!A$3:C$30,3,0)</f>
        <v>Secretaria Municipal de Agricultura, Abastecimento, Centro e Comércio Informal</v>
      </c>
      <c r="C16" s="12" t="s">
        <v>153</v>
      </c>
      <c r="D16" s="3" t="s">
        <v>124</v>
      </c>
      <c r="E16" s="3"/>
      <c r="F16" s="3"/>
      <c r="G16" s="3"/>
      <c r="H16" s="5"/>
      <c r="I16" s="5">
        <f t="shared" si="0"/>
        <v>0</v>
      </c>
      <c r="J16" s="3"/>
      <c r="K16" s="3" t="s">
        <v>195</v>
      </c>
      <c r="L16" s="5">
        <v>0</v>
      </c>
      <c r="M16" s="10">
        <v>98</v>
      </c>
      <c r="N16" s="11" t="s">
        <v>195</v>
      </c>
      <c r="O16" s="3" t="s">
        <v>195</v>
      </c>
      <c r="P16" s="3" t="s">
        <v>195</v>
      </c>
      <c r="Q16" s="12" t="s">
        <v>227</v>
      </c>
      <c r="R16" s="3" t="s">
        <v>195</v>
      </c>
      <c r="S16" s="13" t="s">
        <v>195</v>
      </c>
      <c r="T16" s="10" t="str">
        <f>VLOOKUP(A16,Listas!A$3:C$30,2,0)</f>
        <v>41101</v>
      </c>
      <c r="U16" s="3" t="s">
        <v>195</v>
      </c>
      <c r="V16" s="3" t="s">
        <v>195</v>
      </c>
      <c r="W16" s="5" t="s">
        <v>195</v>
      </c>
      <c r="X16" s="3" t="s">
        <v>195</v>
      </c>
      <c r="Y16" s="3" t="s">
        <v>195</v>
      </c>
    </row>
    <row r="17" spans="1:25" x14ac:dyDescent="0.2">
      <c r="A17" s="3" t="s">
        <v>97</v>
      </c>
      <c r="B17" s="3" t="str">
        <f>VLOOKUP(A17,Listas!A$3:C$30,3,0)</f>
        <v>Secretaria Municipal de Agricultura, Abastecimento, Centro e Comércio Informal</v>
      </c>
      <c r="C17" s="12" t="s">
        <v>154</v>
      </c>
      <c r="D17" s="3" t="s">
        <v>124</v>
      </c>
      <c r="E17" s="3"/>
      <c r="F17" s="3"/>
      <c r="G17" s="3"/>
      <c r="H17" s="5"/>
      <c r="I17" s="5">
        <f t="shared" si="0"/>
        <v>0</v>
      </c>
      <c r="J17" s="3"/>
      <c r="K17" s="3" t="s">
        <v>195</v>
      </c>
      <c r="L17" s="5">
        <v>0</v>
      </c>
      <c r="M17" s="10">
        <v>99</v>
      </c>
      <c r="N17" s="11" t="s">
        <v>195</v>
      </c>
      <c r="O17" s="3" t="s">
        <v>195</v>
      </c>
      <c r="P17" s="3" t="s">
        <v>195</v>
      </c>
      <c r="Q17" s="12" t="s">
        <v>228</v>
      </c>
      <c r="R17" s="3" t="s">
        <v>195</v>
      </c>
      <c r="S17" s="13" t="s">
        <v>195</v>
      </c>
      <c r="T17" s="10" t="str">
        <f>VLOOKUP(A17,Listas!A$3:C$30,2,0)</f>
        <v>41101</v>
      </c>
      <c r="U17" s="3" t="s">
        <v>195</v>
      </c>
      <c r="V17" s="3" t="s">
        <v>195</v>
      </c>
      <c r="W17" s="5" t="s">
        <v>195</v>
      </c>
      <c r="X17" s="3" t="s">
        <v>195</v>
      </c>
      <c r="Y17" s="3" t="s">
        <v>195</v>
      </c>
    </row>
    <row r="18" spans="1:25" x14ac:dyDescent="0.2">
      <c r="A18" s="3" t="s">
        <v>97</v>
      </c>
      <c r="B18" s="3" t="str">
        <f>VLOOKUP(A18,Listas!A$3:C$30,3,0)</f>
        <v>Secretaria Municipal de Agricultura, Abastecimento, Centro e Comércio Informal</v>
      </c>
      <c r="C18" s="12" t="s">
        <v>155</v>
      </c>
      <c r="D18" s="3" t="s">
        <v>127</v>
      </c>
      <c r="E18" s="3"/>
      <c r="F18" s="3"/>
      <c r="G18" s="3"/>
      <c r="H18" s="5"/>
      <c r="I18" s="5">
        <f t="shared" si="0"/>
        <v>0</v>
      </c>
      <c r="J18" s="3"/>
      <c r="K18" s="3" t="s">
        <v>195</v>
      </c>
      <c r="L18" s="5">
        <v>0</v>
      </c>
      <c r="M18" s="10">
        <v>100</v>
      </c>
      <c r="N18" s="11" t="s">
        <v>195</v>
      </c>
      <c r="O18" s="3" t="s">
        <v>195</v>
      </c>
      <c r="P18" s="3" t="s">
        <v>195</v>
      </c>
      <c r="Q18" s="12" t="s">
        <v>229</v>
      </c>
      <c r="R18" s="3" t="s">
        <v>195</v>
      </c>
      <c r="S18" s="13" t="s">
        <v>195</v>
      </c>
      <c r="T18" s="10" t="str">
        <f>VLOOKUP(A18,Listas!A$3:C$30,2,0)</f>
        <v>41101</v>
      </c>
      <c r="U18" s="3" t="s">
        <v>195</v>
      </c>
      <c r="V18" s="3" t="s">
        <v>195</v>
      </c>
      <c r="W18" s="5" t="s">
        <v>195</v>
      </c>
      <c r="X18" s="3" t="s">
        <v>195</v>
      </c>
      <c r="Y18" s="3" t="s">
        <v>195</v>
      </c>
    </row>
    <row r="19" spans="1:25" x14ac:dyDescent="0.2">
      <c r="A19" s="3" t="s">
        <v>97</v>
      </c>
      <c r="B19" s="3" t="str">
        <f>VLOOKUP(A19,Listas!A$3:C$30,3,0)</f>
        <v>Secretaria Municipal de Agricultura, Abastecimento, Centro e Comércio Informal</v>
      </c>
      <c r="C19" s="12" t="s">
        <v>156</v>
      </c>
      <c r="D19" s="3" t="s">
        <v>124</v>
      </c>
      <c r="E19" s="3"/>
      <c r="F19" s="3"/>
      <c r="G19" s="3"/>
      <c r="H19" s="5"/>
      <c r="I19" s="5">
        <f t="shared" si="0"/>
        <v>0</v>
      </c>
      <c r="J19" s="3"/>
      <c r="K19" s="3" t="s">
        <v>195</v>
      </c>
      <c r="L19" s="5">
        <v>0</v>
      </c>
      <c r="M19" s="10">
        <v>101</v>
      </c>
      <c r="N19" s="11" t="s">
        <v>195</v>
      </c>
      <c r="O19" s="3" t="s">
        <v>195</v>
      </c>
      <c r="P19" s="3" t="s">
        <v>195</v>
      </c>
      <c r="Q19" s="12" t="s">
        <v>230</v>
      </c>
      <c r="R19" s="3" t="s">
        <v>195</v>
      </c>
      <c r="S19" s="13" t="s">
        <v>195</v>
      </c>
      <c r="T19" s="10" t="str">
        <f>VLOOKUP(A19,Listas!A$3:C$30,2,0)</f>
        <v>41101</v>
      </c>
      <c r="U19" s="3" t="s">
        <v>195</v>
      </c>
      <c r="V19" s="3" t="s">
        <v>195</v>
      </c>
      <c r="W19" s="5" t="s">
        <v>195</v>
      </c>
      <c r="X19" s="3" t="s">
        <v>195</v>
      </c>
      <c r="Y19" s="3" t="s">
        <v>195</v>
      </c>
    </row>
    <row r="20" spans="1:25" x14ac:dyDescent="0.2">
      <c r="A20" s="3" t="s">
        <v>97</v>
      </c>
      <c r="B20" s="3" t="str">
        <f>VLOOKUP(A20,Listas!A$3:C$30,3,0)</f>
        <v>Secretaria Municipal de Agricultura, Abastecimento, Centro e Comércio Informal</v>
      </c>
      <c r="C20" s="12" t="s">
        <v>157</v>
      </c>
      <c r="D20" s="3" t="s">
        <v>124</v>
      </c>
      <c r="E20" s="3"/>
      <c r="F20" s="3"/>
      <c r="G20" s="3"/>
      <c r="H20" s="5"/>
      <c r="I20" s="5">
        <f t="shared" si="0"/>
        <v>0</v>
      </c>
      <c r="J20" s="3"/>
      <c r="K20" s="3" t="s">
        <v>195</v>
      </c>
      <c r="L20" s="5">
        <v>0</v>
      </c>
      <c r="M20" s="10">
        <v>102</v>
      </c>
      <c r="N20" s="11" t="s">
        <v>195</v>
      </c>
      <c r="O20" s="3" t="s">
        <v>195</v>
      </c>
      <c r="P20" s="3" t="s">
        <v>195</v>
      </c>
      <c r="Q20" s="12" t="s">
        <v>231</v>
      </c>
      <c r="R20" s="3" t="s">
        <v>195</v>
      </c>
      <c r="S20" s="13" t="s">
        <v>195</v>
      </c>
      <c r="T20" s="10" t="str">
        <f>VLOOKUP(A20,Listas!A$3:C$30,2,0)</f>
        <v>41101</v>
      </c>
      <c r="U20" s="3" t="s">
        <v>195</v>
      </c>
      <c r="V20" s="3" t="s">
        <v>195</v>
      </c>
      <c r="W20" s="5" t="s">
        <v>195</v>
      </c>
      <c r="X20" s="3" t="s">
        <v>195</v>
      </c>
      <c r="Y20" s="3" t="s">
        <v>195</v>
      </c>
    </row>
    <row r="21" spans="1:25" x14ac:dyDescent="0.2">
      <c r="A21" s="3" t="s">
        <v>97</v>
      </c>
      <c r="B21" s="3" t="str">
        <f>VLOOKUP(A21,Listas!A$3:C$30,3,0)</f>
        <v>Secretaria Municipal de Agricultura, Abastecimento, Centro e Comércio Informal</v>
      </c>
      <c r="C21" s="12" t="s">
        <v>158</v>
      </c>
      <c r="D21" s="3" t="s">
        <v>127</v>
      </c>
      <c r="E21" s="3"/>
      <c r="F21" s="3"/>
      <c r="G21" s="3"/>
      <c r="H21" s="5"/>
      <c r="I21" s="5">
        <f t="shared" si="0"/>
        <v>0</v>
      </c>
      <c r="J21" s="3"/>
      <c r="K21" s="3" t="s">
        <v>195</v>
      </c>
      <c r="L21" s="5">
        <v>0</v>
      </c>
      <c r="M21" s="10">
        <v>103</v>
      </c>
      <c r="N21" s="11" t="s">
        <v>195</v>
      </c>
      <c r="O21" s="3" t="s">
        <v>195</v>
      </c>
      <c r="P21" s="3" t="s">
        <v>195</v>
      </c>
      <c r="Q21" s="12" t="s">
        <v>232</v>
      </c>
      <c r="R21" s="3" t="s">
        <v>195</v>
      </c>
      <c r="S21" s="13" t="s">
        <v>195</v>
      </c>
      <c r="T21" s="10" t="str">
        <f>VLOOKUP(A21,Listas!A$3:C$30,2,0)</f>
        <v>41101</v>
      </c>
      <c r="U21" s="3" t="s">
        <v>195</v>
      </c>
      <c r="V21" s="3" t="s">
        <v>195</v>
      </c>
      <c r="W21" s="5" t="s">
        <v>195</v>
      </c>
      <c r="X21" s="3" t="s">
        <v>195</v>
      </c>
      <c r="Y21" s="3" t="s">
        <v>195</v>
      </c>
    </row>
    <row r="22" spans="1:25" x14ac:dyDescent="0.2">
      <c r="A22" s="3" t="s">
        <v>97</v>
      </c>
      <c r="B22" s="3" t="str">
        <f>VLOOKUP(A22,Listas!A$3:C$30,3,0)</f>
        <v>Secretaria Municipal de Agricultura, Abastecimento, Centro e Comércio Informal</v>
      </c>
      <c r="C22" s="12" t="s">
        <v>159</v>
      </c>
      <c r="D22" s="3" t="s">
        <v>127</v>
      </c>
      <c r="E22" s="3"/>
      <c r="F22" s="3"/>
      <c r="G22" s="3"/>
      <c r="H22" s="5"/>
      <c r="I22" s="5">
        <f t="shared" si="0"/>
        <v>0</v>
      </c>
      <c r="J22" s="3"/>
      <c r="K22" s="3" t="s">
        <v>195</v>
      </c>
      <c r="L22" s="5">
        <v>0</v>
      </c>
      <c r="M22" s="10">
        <v>104</v>
      </c>
      <c r="N22" s="11" t="s">
        <v>195</v>
      </c>
      <c r="O22" s="3" t="s">
        <v>195</v>
      </c>
      <c r="P22" s="3" t="s">
        <v>195</v>
      </c>
      <c r="Q22" s="12" t="s">
        <v>233</v>
      </c>
      <c r="R22" s="3" t="s">
        <v>195</v>
      </c>
      <c r="S22" s="13" t="s">
        <v>195</v>
      </c>
      <c r="T22" s="10" t="str">
        <f>VLOOKUP(A22,Listas!A$3:C$30,2,0)</f>
        <v>41101</v>
      </c>
      <c r="U22" s="3" t="s">
        <v>195</v>
      </c>
      <c r="V22" s="3" t="s">
        <v>195</v>
      </c>
      <c r="W22" s="5" t="s">
        <v>195</v>
      </c>
      <c r="X22" s="3" t="s">
        <v>195</v>
      </c>
      <c r="Y22" s="3" t="s">
        <v>195</v>
      </c>
    </row>
    <row r="23" spans="1:25" x14ac:dyDescent="0.2">
      <c r="A23" s="3" t="s">
        <v>97</v>
      </c>
      <c r="B23" s="3" t="str">
        <f>VLOOKUP(A23,Listas!A$3:C$30,3,0)</f>
        <v>Secretaria Municipal de Agricultura, Abastecimento, Centro e Comércio Informal</v>
      </c>
      <c r="C23" s="12" t="s">
        <v>160</v>
      </c>
      <c r="D23" s="3" t="s">
        <v>128</v>
      </c>
      <c r="E23" s="3"/>
      <c r="F23" s="3"/>
      <c r="G23" s="3"/>
      <c r="H23" s="5"/>
      <c r="I23" s="5">
        <f t="shared" si="0"/>
        <v>0</v>
      </c>
      <c r="J23" s="3"/>
      <c r="K23" s="3" t="s">
        <v>195</v>
      </c>
      <c r="L23" s="5">
        <v>0</v>
      </c>
      <c r="M23" s="10">
        <v>105</v>
      </c>
      <c r="N23" s="11" t="s">
        <v>195</v>
      </c>
      <c r="O23" s="3" t="s">
        <v>195</v>
      </c>
      <c r="P23" s="3" t="s">
        <v>195</v>
      </c>
      <c r="Q23" s="12" t="s">
        <v>234</v>
      </c>
      <c r="R23" s="3" t="s">
        <v>195</v>
      </c>
      <c r="S23" s="13" t="s">
        <v>195</v>
      </c>
      <c r="T23" s="10" t="str">
        <f>VLOOKUP(A23,Listas!A$3:C$30,2,0)</f>
        <v>41101</v>
      </c>
      <c r="U23" s="3" t="s">
        <v>195</v>
      </c>
      <c r="V23" s="3" t="s">
        <v>195</v>
      </c>
      <c r="W23" s="5" t="s">
        <v>195</v>
      </c>
      <c r="X23" s="3" t="s">
        <v>195</v>
      </c>
      <c r="Y23" s="3" t="s">
        <v>195</v>
      </c>
    </row>
    <row r="24" spans="1:25" x14ac:dyDescent="0.2">
      <c r="A24" s="3" t="s">
        <v>97</v>
      </c>
      <c r="B24" s="3" t="str">
        <f>VLOOKUP(A24,Listas!A$3:C$30,3,0)</f>
        <v>Secretaria Municipal de Agricultura, Abastecimento, Centro e Comércio Informal</v>
      </c>
      <c r="C24" s="12" t="s">
        <v>161</v>
      </c>
      <c r="D24" s="3" t="s">
        <v>124</v>
      </c>
      <c r="E24" s="3"/>
      <c r="F24" s="3"/>
      <c r="G24" s="3"/>
      <c r="H24" s="5"/>
      <c r="I24" s="5">
        <f t="shared" si="0"/>
        <v>0</v>
      </c>
      <c r="J24" s="3"/>
      <c r="K24" s="3" t="s">
        <v>195</v>
      </c>
      <c r="L24" s="5">
        <v>0</v>
      </c>
      <c r="M24" s="10">
        <v>106</v>
      </c>
      <c r="N24" s="11" t="s">
        <v>195</v>
      </c>
      <c r="O24" s="3" t="s">
        <v>195</v>
      </c>
      <c r="P24" s="3" t="s">
        <v>195</v>
      </c>
      <c r="Q24" s="12" t="s">
        <v>235</v>
      </c>
      <c r="R24" s="3" t="s">
        <v>195</v>
      </c>
      <c r="S24" s="13" t="s">
        <v>195</v>
      </c>
      <c r="T24" s="10" t="str">
        <f>VLOOKUP(A24,Listas!A$3:C$30,2,0)</f>
        <v>41101</v>
      </c>
      <c r="U24" s="3" t="s">
        <v>195</v>
      </c>
      <c r="V24" s="3" t="s">
        <v>195</v>
      </c>
      <c r="W24" s="5" t="s">
        <v>195</v>
      </c>
      <c r="X24" s="3" t="s">
        <v>195</v>
      </c>
      <c r="Y24" s="3" t="s">
        <v>195</v>
      </c>
    </row>
    <row r="25" spans="1:25" x14ac:dyDescent="0.2">
      <c r="A25" s="3" t="s">
        <v>97</v>
      </c>
      <c r="B25" s="3" t="str">
        <f>VLOOKUP(A25,Listas!A$3:C$30,3,0)</f>
        <v>Secretaria Municipal de Agricultura, Abastecimento, Centro e Comércio Informal</v>
      </c>
      <c r="C25" s="12" t="s">
        <v>162</v>
      </c>
      <c r="D25" s="3" t="s">
        <v>129</v>
      </c>
      <c r="E25" s="3"/>
      <c r="F25" s="3"/>
      <c r="G25" s="3"/>
      <c r="H25" s="5"/>
      <c r="I25" s="5">
        <f t="shared" si="0"/>
        <v>0</v>
      </c>
      <c r="J25" s="3"/>
      <c r="K25" s="3" t="s">
        <v>195</v>
      </c>
      <c r="L25" s="5">
        <v>0</v>
      </c>
      <c r="M25" s="10">
        <v>107</v>
      </c>
      <c r="N25" s="11" t="s">
        <v>195</v>
      </c>
      <c r="O25" s="3" t="s">
        <v>195</v>
      </c>
      <c r="P25" s="3" t="s">
        <v>195</v>
      </c>
      <c r="Q25" s="12" t="s">
        <v>236</v>
      </c>
      <c r="R25" s="3" t="s">
        <v>195</v>
      </c>
      <c r="S25" s="13" t="s">
        <v>195</v>
      </c>
      <c r="T25" s="10" t="str">
        <f>VLOOKUP(A25,Listas!A$3:C$30,2,0)</f>
        <v>41101</v>
      </c>
      <c r="U25" s="3" t="s">
        <v>195</v>
      </c>
      <c r="V25" s="3" t="s">
        <v>195</v>
      </c>
      <c r="W25" s="5" t="s">
        <v>195</v>
      </c>
      <c r="X25" s="3" t="s">
        <v>195</v>
      </c>
      <c r="Y25" s="3" t="s">
        <v>195</v>
      </c>
    </row>
    <row r="26" spans="1:25" x14ac:dyDescent="0.2">
      <c r="A26" s="3" t="s">
        <v>97</v>
      </c>
      <c r="B26" s="3" t="str">
        <f>VLOOKUP(A26,Listas!A$3:C$30,3,0)</f>
        <v>Secretaria Municipal de Agricultura, Abastecimento, Centro e Comércio Informal</v>
      </c>
      <c r="C26" s="12" t="s">
        <v>163</v>
      </c>
      <c r="D26" s="3" t="s">
        <v>127</v>
      </c>
      <c r="E26" s="3"/>
      <c r="F26" s="3"/>
      <c r="G26" s="3"/>
      <c r="H26" s="5"/>
      <c r="I26" s="5">
        <f t="shared" si="0"/>
        <v>0</v>
      </c>
      <c r="J26" s="3"/>
      <c r="K26" s="3" t="s">
        <v>195</v>
      </c>
      <c r="L26" s="5">
        <v>0</v>
      </c>
      <c r="M26" s="10">
        <v>108</v>
      </c>
      <c r="N26" s="11" t="s">
        <v>195</v>
      </c>
      <c r="O26" s="3" t="s">
        <v>195</v>
      </c>
      <c r="P26" s="3" t="s">
        <v>195</v>
      </c>
      <c r="Q26" s="12" t="s">
        <v>237</v>
      </c>
      <c r="R26" s="3" t="s">
        <v>195</v>
      </c>
      <c r="S26" s="13" t="s">
        <v>195</v>
      </c>
      <c r="T26" s="10" t="str">
        <f>VLOOKUP(A26,Listas!A$3:C$30,2,0)</f>
        <v>41101</v>
      </c>
      <c r="U26" s="3" t="s">
        <v>195</v>
      </c>
      <c r="V26" s="3" t="s">
        <v>195</v>
      </c>
      <c r="W26" s="5" t="s">
        <v>195</v>
      </c>
      <c r="X26" s="3" t="s">
        <v>195</v>
      </c>
      <c r="Y26" s="3" t="s">
        <v>195</v>
      </c>
    </row>
    <row r="27" spans="1:25" x14ac:dyDescent="0.2">
      <c r="A27" s="3" t="s">
        <v>97</v>
      </c>
      <c r="B27" s="3" t="str">
        <f>VLOOKUP(A27,Listas!A$3:C$30,3,0)</f>
        <v>Secretaria Municipal de Agricultura, Abastecimento, Centro e Comércio Informal</v>
      </c>
      <c r="C27" s="12" t="s">
        <v>164</v>
      </c>
      <c r="D27" s="3" t="s">
        <v>122</v>
      </c>
      <c r="E27" s="3"/>
      <c r="F27" s="3"/>
      <c r="G27" s="3"/>
      <c r="H27" s="5"/>
      <c r="I27" s="5">
        <f t="shared" si="0"/>
        <v>0</v>
      </c>
      <c r="J27" s="3"/>
      <c r="K27" s="3" t="s">
        <v>195</v>
      </c>
      <c r="L27" s="5">
        <v>0</v>
      </c>
      <c r="M27" s="10">
        <v>109</v>
      </c>
      <c r="N27" s="11" t="s">
        <v>195</v>
      </c>
      <c r="O27" s="3" t="s">
        <v>195</v>
      </c>
      <c r="P27" s="3" t="s">
        <v>195</v>
      </c>
      <c r="Q27" s="12" t="s">
        <v>238</v>
      </c>
      <c r="R27" s="3" t="s">
        <v>195</v>
      </c>
      <c r="S27" s="13" t="s">
        <v>195</v>
      </c>
      <c r="T27" s="10" t="str">
        <f>VLOOKUP(A27,Listas!A$3:C$30,2,0)</f>
        <v>41101</v>
      </c>
      <c r="U27" s="3" t="s">
        <v>195</v>
      </c>
      <c r="V27" s="3" t="s">
        <v>195</v>
      </c>
      <c r="W27" s="5" t="s">
        <v>195</v>
      </c>
      <c r="X27" s="3" t="s">
        <v>195</v>
      </c>
      <c r="Y27" s="3" t="s">
        <v>195</v>
      </c>
    </row>
    <row r="28" spans="1:25" x14ac:dyDescent="0.2">
      <c r="A28" s="3" t="s">
        <v>97</v>
      </c>
      <c r="B28" s="3" t="str">
        <f>VLOOKUP(A28,Listas!A$3:C$30,3,0)</f>
        <v>Secretaria Municipal de Agricultura, Abastecimento, Centro e Comércio Informal</v>
      </c>
      <c r="C28" s="12" t="s">
        <v>165</v>
      </c>
      <c r="D28" s="3" t="s">
        <v>122</v>
      </c>
      <c r="E28" s="3"/>
      <c r="F28" s="3"/>
      <c r="G28" s="3"/>
      <c r="H28" s="5"/>
      <c r="I28" s="5">
        <f t="shared" si="0"/>
        <v>0</v>
      </c>
      <c r="J28" s="3"/>
      <c r="K28" s="3" t="s">
        <v>195</v>
      </c>
      <c r="L28" s="5">
        <v>0</v>
      </c>
      <c r="M28" s="10">
        <v>110</v>
      </c>
      <c r="N28" s="11" t="s">
        <v>195</v>
      </c>
      <c r="O28" s="3" t="s">
        <v>195</v>
      </c>
      <c r="P28" s="3" t="s">
        <v>195</v>
      </c>
      <c r="Q28" s="12" t="s">
        <v>224</v>
      </c>
      <c r="R28" s="3" t="s">
        <v>195</v>
      </c>
      <c r="S28" s="13" t="s">
        <v>195</v>
      </c>
      <c r="T28" s="10" t="str">
        <f>VLOOKUP(A28,Listas!A$3:C$30,2,0)</f>
        <v>41101</v>
      </c>
      <c r="U28" s="3" t="s">
        <v>195</v>
      </c>
      <c r="V28" s="3" t="s">
        <v>195</v>
      </c>
      <c r="W28" s="5" t="s">
        <v>195</v>
      </c>
      <c r="X28" s="3" t="s">
        <v>195</v>
      </c>
      <c r="Y28" s="3" t="s">
        <v>195</v>
      </c>
    </row>
    <row r="29" spans="1:25" x14ac:dyDescent="0.2">
      <c r="A29" s="3" t="s">
        <v>97</v>
      </c>
      <c r="B29" s="3" t="str">
        <f>VLOOKUP(A29,Listas!A$3:C$30,3,0)</f>
        <v>Secretaria Municipal de Agricultura, Abastecimento, Centro e Comércio Informal</v>
      </c>
      <c r="C29" s="12" t="s">
        <v>166</v>
      </c>
      <c r="D29" s="3" t="s">
        <v>122</v>
      </c>
      <c r="E29" s="3"/>
      <c r="F29" s="3"/>
      <c r="G29" s="3"/>
      <c r="H29" s="5"/>
      <c r="I29" s="5">
        <f t="shared" si="0"/>
        <v>0</v>
      </c>
      <c r="J29" s="3"/>
      <c r="K29" s="3" t="s">
        <v>195</v>
      </c>
      <c r="L29" s="5">
        <v>0</v>
      </c>
      <c r="M29" s="10">
        <v>111</v>
      </c>
      <c r="N29" s="11" t="s">
        <v>195</v>
      </c>
      <c r="O29" s="3" t="s">
        <v>195</v>
      </c>
      <c r="P29" s="3" t="s">
        <v>195</v>
      </c>
      <c r="Q29" s="12" t="s">
        <v>239</v>
      </c>
      <c r="R29" s="3" t="s">
        <v>195</v>
      </c>
      <c r="S29" s="13" t="s">
        <v>195</v>
      </c>
      <c r="T29" s="10" t="str">
        <f>VLOOKUP(A29,Listas!A$3:C$30,2,0)</f>
        <v>41101</v>
      </c>
      <c r="U29" s="3" t="s">
        <v>195</v>
      </c>
      <c r="V29" s="3" t="s">
        <v>195</v>
      </c>
      <c r="W29" s="5" t="s">
        <v>195</v>
      </c>
      <c r="X29" s="3" t="s">
        <v>195</v>
      </c>
      <c r="Y29" s="3" t="s">
        <v>195</v>
      </c>
    </row>
    <row r="30" spans="1:25" x14ac:dyDescent="0.2">
      <c r="A30" s="3" t="s">
        <v>97</v>
      </c>
      <c r="B30" s="3" t="str">
        <f>VLOOKUP(A30,Listas!A$3:C$30,3,0)</f>
        <v>Secretaria Municipal de Agricultura, Abastecimento, Centro e Comércio Informal</v>
      </c>
      <c r="C30" s="12" t="s">
        <v>167</v>
      </c>
      <c r="D30" s="3" t="s">
        <v>124</v>
      </c>
      <c r="E30" s="3"/>
      <c r="F30" s="3"/>
      <c r="G30" s="3"/>
      <c r="H30" s="5"/>
      <c r="I30" s="5">
        <f t="shared" si="0"/>
        <v>0</v>
      </c>
      <c r="J30" s="3"/>
      <c r="K30" s="3" t="s">
        <v>195</v>
      </c>
      <c r="L30" s="5">
        <v>0</v>
      </c>
      <c r="M30" s="10">
        <v>112</v>
      </c>
      <c r="N30" s="11" t="s">
        <v>195</v>
      </c>
      <c r="O30" s="3" t="s">
        <v>195</v>
      </c>
      <c r="P30" s="3" t="s">
        <v>195</v>
      </c>
      <c r="Q30" s="12" t="s">
        <v>240</v>
      </c>
      <c r="R30" s="3" t="s">
        <v>195</v>
      </c>
      <c r="S30" s="13" t="s">
        <v>195</v>
      </c>
      <c r="T30" s="10" t="str">
        <f>VLOOKUP(A30,Listas!A$3:C$30,2,0)</f>
        <v>41101</v>
      </c>
      <c r="U30" s="3" t="s">
        <v>195</v>
      </c>
      <c r="V30" s="3" t="s">
        <v>195</v>
      </c>
      <c r="W30" s="5" t="s">
        <v>195</v>
      </c>
      <c r="X30" s="3" t="s">
        <v>195</v>
      </c>
      <c r="Y30" s="3" t="s">
        <v>195</v>
      </c>
    </row>
    <row r="31" spans="1:25" x14ac:dyDescent="0.2">
      <c r="A31" s="3" t="s">
        <v>97</v>
      </c>
      <c r="B31" s="3" t="str">
        <f>VLOOKUP(A31,Listas!A$3:C$30,3,0)</f>
        <v>Secretaria Municipal de Agricultura, Abastecimento, Centro e Comércio Informal</v>
      </c>
      <c r="C31" s="12" t="s">
        <v>168</v>
      </c>
      <c r="D31" s="3" t="s">
        <v>124</v>
      </c>
      <c r="E31" s="3"/>
      <c r="F31" s="3"/>
      <c r="G31" s="3"/>
      <c r="H31" s="5"/>
      <c r="I31" s="5">
        <f t="shared" si="0"/>
        <v>0</v>
      </c>
      <c r="J31" s="3"/>
      <c r="K31" s="3" t="s">
        <v>195</v>
      </c>
      <c r="L31" s="5">
        <v>0</v>
      </c>
      <c r="M31" s="10">
        <v>113</v>
      </c>
      <c r="N31" s="11" t="s">
        <v>195</v>
      </c>
      <c r="O31" s="3" t="s">
        <v>195</v>
      </c>
      <c r="P31" s="3" t="s">
        <v>195</v>
      </c>
      <c r="Q31" s="12" t="s">
        <v>241</v>
      </c>
      <c r="R31" s="3" t="s">
        <v>195</v>
      </c>
      <c r="S31" s="13" t="s">
        <v>195</v>
      </c>
      <c r="T31" s="10" t="str">
        <f>VLOOKUP(A31,Listas!A$3:C$30,2,0)</f>
        <v>41101</v>
      </c>
      <c r="U31" s="3" t="s">
        <v>195</v>
      </c>
      <c r="V31" s="3" t="s">
        <v>195</v>
      </c>
      <c r="W31" s="5" t="s">
        <v>195</v>
      </c>
      <c r="X31" s="3" t="s">
        <v>195</v>
      </c>
      <c r="Y31" s="3" t="s">
        <v>195</v>
      </c>
    </row>
    <row r="32" spans="1:25" x14ac:dyDescent="0.2">
      <c r="A32" s="3" t="s">
        <v>97</v>
      </c>
      <c r="B32" s="3" t="str">
        <f>VLOOKUP(A32,Listas!A$3:C$30,3,0)</f>
        <v>Secretaria Municipal de Agricultura, Abastecimento, Centro e Comércio Informal</v>
      </c>
      <c r="C32" s="12" t="s">
        <v>169</v>
      </c>
      <c r="D32" s="3" t="s">
        <v>122</v>
      </c>
      <c r="E32" s="3"/>
      <c r="F32" s="3"/>
      <c r="G32" s="3"/>
      <c r="H32" s="5"/>
      <c r="I32" s="5">
        <f t="shared" si="0"/>
        <v>0</v>
      </c>
      <c r="J32" s="3"/>
      <c r="K32" s="3" t="s">
        <v>195</v>
      </c>
      <c r="L32" s="5">
        <v>0</v>
      </c>
      <c r="M32" s="10">
        <v>114</v>
      </c>
      <c r="N32" s="11" t="s">
        <v>195</v>
      </c>
      <c r="O32" s="3" t="s">
        <v>195</v>
      </c>
      <c r="P32" s="3" t="s">
        <v>195</v>
      </c>
      <c r="Q32" s="12" t="s">
        <v>242</v>
      </c>
      <c r="R32" s="3" t="s">
        <v>195</v>
      </c>
      <c r="S32" s="13" t="s">
        <v>195</v>
      </c>
      <c r="T32" s="10" t="str">
        <f>VLOOKUP(A32,Listas!A$3:C$30,2,0)</f>
        <v>41101</v>
      </c>
      <c r="U32" s="3" t="s">
        <v>195</v>
      </c>
      <c r="V32" s="3" t="s">
        <v>195</v>
      </c>
      <c r="W32" s="5" t="s">
        <v>195</v>
      </c>
      <c r="X32" s="3" t="s">
        <v>195</v>
      </c>
      <c r="Y32" s="3" t="s">
        <v>195</v>
      </c>
    </row>
    <row r="33" spans="1:25" x14ac:dyDescent="0.2">
      <c r="A33" s="3" t="s">
        <v>97</v>
      </c>
      <c r="B33" s="3" t="str">
        <f>VLOOKUP(A33,Listas!A$3:C$30,3,0)</f>
        <v>Secretaria Municipal de Agricultura, Abastecimento, Centro e Comércio Informal</v>
      </c>
      <c r="C33" s="12" t="s">
        <v>170</v>
      </c>
      <c r="D33" s="3" t="s">
        <v>128</v>
      </c>
      <c r="E33" s="3"/>
      <c r="F33" s="3" t="s">
        <v>131</v>
      </c>
      <c r="G33" s="3">
        <v>31726</v>
      </c>
      <c r="H33" s="5"/>
      <c r="I33" s="5">
        <f t="shared" si="0"/>
        <v>0</v>
      </c>
      <c r="J33" s="3"/>
      <c r="K33" s="3" t="s">
        <v>195</v>
      </c>
      <c r="L33" s="5">
        <v>0</v>
      </c>
      <c r="M33" s="10">
        <v>115</v>
      </c>
      <c r="N33" s="11" t="s">
        <v>195</v>
      </c>
      <c r="O33" s="3" t="s">
        <v>195</v>
      </c>
      <c r="P33" s="3" t="s">
        <v>195</v>
      </c>
      <c r="Q33" s="12" t="s">
        <v>243</v>
      </c>
      <c r="R33" s="3" t="s">
        <v>195</v>
      </c>
      <c r="S33" s="13" t="s">
        <v>195</v>
      </c>
      <c r="T33" s="10" t="str">
        <f>VLOOKUP(A33,Listas!A$3:C$30,2,0)</f>
        <v>41101</v>
      </c>
      <c r="U33" s="3" t="s">
        <v>195</v>
      </c>
      <c r="V33" s="3" t="s">
        <v>195</v>
      </c>
      <c r="W33" s="5" t="s">
        <v>195</v>
      </c>
      <c r="X33" s="3" t="s">
        <v>195</v>
      </c>
      <c r="Y33" s="3" t="s">
        <v>195</v>
      </c>
    </row>
    <row r="34" spans="1:25" x14ac:dyDescent="0.2">
      <c r="A34" s="3" t="s">
        <v>97</v>
      </c>
      <c r="B34" s="3" t="str">
        <f>VLOOKUP(A34,Listas!A$3:C$30,3,0)</f>
        <v>Secretaria Municipal de Agricultura, Abastecimento, Centro e Comércio Informal</v>
      </c>
      <c r="C34" s="12" t="s">
        <v>171</v>
      </c>
      <c r="D34" s="3" t="s">
        <v>123</v>
      </c>
      <c r="E34" s="3"/>
      <c r="F34" s="3"/>
      <c r="G34" s="3"/>
      <c r="H34" s="5"/>
      <c r="I34" s="5">
        <f t="shared" si="0"/>
        <v>0</v>
      </c>
      <c r="J34" s="3"/>
      <c r="K34" s="3" t="s">
        <v>195</v>
      </c>
      <c r="L34" s="5">
        <v>0</v>
      </c>
      <c r="M34" s="10">
        <v>116</v>
      </c>
      <c r="N34" s="11" t="s">
        <v>195</v>
      </c>
      <c r="O34" s="3" t="s">
        <v>195</v>
      </c>
      <c r="P34" s="3" t="s">
        <v>195</v>
      </c>
      <c r="Q34" s="12" t="s">
        <v>244</v>
      </c>
      <c r="R34" s="3" t="s">
        <v>195</v>
      </c>
      <c r="S34" s="13" t="s">
        <v>195</v>
      </c>
      <c r="T34" s="10" t="str">
        <f>VLOOKUP(A34,Listas!A$3:C$30,2,0)</f>
        <v>41101</v>
      </c>
      <c r="U34" s="3" t="s">
        <v>195</v>
      </c>
      <c r="V34" s="3" t="s">
        <v>195</v>
      </c>
      <c r="W34" s="5" t="s">
        <v>195</v>
      </c>
      <c r="X34" s="3" t="s">
        <v>195</v>
      </c>
      <c r="Y34" s="3" t="s">
        <v>195</v>
      </c>
    </row>
    <row r="35" spans="1:25" x14ac:dyDescent="0.2">
      <c r="A35" s="3" t="s">
        <v>97</v>
      </c>
      <c r="B35" s="3" t="str">
        <f>VLOOKUP(A35,Listas!A$3:C$30,3,0)</f>
        <v>Secretaria Municipal de Agricultura, Abastecimento, Centro e Comércio Informal</v>
      </c>
      <c r="C35" s="12" t="s">
        <v>172</v>
      </c>
      <c r="D35" s="3" t="s">
        <v>123</v>
      </c>
      <c r="E35" s="3"/>
      <c r="F35" s="3"/>
      <c r="G35" s="3"/>
      <c r="H35" s="5"/>
      <c r="I35" s="5">
        <f t="shared" si="0"/>
        <v>0</v>
      </c>
      <c r="J35" s="3"/>
      <c r="K35" s="3" t="s">
        <v>195</v>
      </c>
      <c r="L35" s="5">
        <v>0</v>
      </c>
      <c r="M35" s="10">
        <v>117</v>
      </c>
      <c r="N35" s="11" t="s">
        <v>195</v>
      </c>
      <c r="O35" s="3" t="s">
        <v>195</v>
      </c>
      <c r="P35" s="3" t="s">
        <v>195</v>
      </c>
      <c r="Q35" s="12" t="s">
        <v>245</v>
      </c>
      <c r="R35" s="3" t="s">
        <v>195</v>
      </c>
      <c r="S35" s="13" t="s">
        <v>195</v>
      </c>
      <c r="T35" s="10" t="str">
        <f>VLOOKUP(A35,Listas!A$3:C$30,2,0)</f>
        <v>41101</v>
      </c>
      <c r="U35" s="3" t="s">
        <v>195</v>
      </c>
      <c r="V35" s="3" t="s">
        <v>195</v>
      </c>
      <c r="W35" s="5" t="s">
        <v>195</v>
      </c>
      <c r="X35" s="3" t="s">
        <v>195</v>
      </c>
      <c r="Y35" s="3" t="s">
        <v>195</v>
      </c>
    </row>
    <row r="36" spans="1:25" x14ac:dyDescent="0.2">
      <c r="A36" s="3" t="s">
        <v>97</v>
      </c>
      <c r="B36" s="3" t="str">
        <f>VLOOKUP(A36,Listas!A$3:C$30,3,0)</f>
        <v>Secretaria Municipal de Agricultura, Abastecimento, Centro e Comércio Informal</v>
      </c>
      <c r="C36" s="12" t="s">
        <v>173</v>
      </c>
      <c r="D36" s="3" t="s">
        <v>123</v>
      </c>
      <c r="E36" s="3"/>
      <c r="F36" s="3"/>
      <c r="G36" s="3"/>
      <c r="H36" s="5"/>
      <c r="I36" s="5">
        <f t="shared" si="0"/>
        <v>0</v>
      </c>
      <c r="J36" s="3"/>
      <c r="K36" s="3" t="s">
        <v>195</v>
      </c>
      <c r="L36" s="5">
        <v>0</v>
      </c>
      <c r="M36" s="10">
        <v>118</v>
      </c>
      <c r="N36" s="11" t="s">
        <v>195</v>
      </c>
      <c r="O36" s="3" t="s">
        <v>195</v>
      </c>
      <c r="P36" s="3" t="s">
        <v>195</v>
      </c>
      <c r="Q36" s="12" t="s">
        <v>246</v>
      </c>
      <c r="R36" s="3" t="s">
        <v>195</v>
      </c>
      <c r="S36" s="13" t="s">
        <v>195</v>
      </c>
      <c r="T36" s="10" t="str">
        <f>VLOOKUP(A36,Listas!A$3:C$30,2,0)</f>
        <v>41101</v>
      </c>
      <c r="U36" s="3" t="s">
        <v>195</v>
      </c>
      <c r="V36" s="3" t="s">
        <v>195</v>
      </c>
      <c r="W36" s="5" t="s">
        <v>195</v>
      </c>
      <c r="X36" s="3" t="s">
        <v>195</v>
      </c>
      <c r="Y36" s="3" t="s">
        <v>195</v>
      </c>
    </row>
    <row r="37" spans="1:25" x14ac:dyDescent="0.2">
      <c r="A37" s="3" t="s">
        <v>97</v>
      </c>
      <c r="B37" s="3" t="str">
        <f>VLOOKUP(A37,Listas!A$3:C$30,3,0)</f>
        <v>Secretaria Municipal de Agricultura, Abastecimento, Centro e Comércio Informal</v>
      </c>
      <c r="C37" s="12" t="s">
        <v>174</v>
      </c>
      <c r="D37" s="3" t="s">
        <v>124</v>
      </c>
      <c r="E37" s="3"/>
      <c r="F37" s="3"/>
      <c r="G37" s="3"/>
      <c r="H37" s="5"/>
      <c r="I37" s="5">
        <f t="shared" si="0"/>
        <v>0</v>
      </c>
      <c r="J37" s="3"/>
      <c r="K37" s="3" t="s">
        <v>195</v>
      </c>
      <c r="L37" s="5">
        <v>0</v>
      </c>
      <c r="M37" s="10">
        <v>119</v>
      </c>
      <c r="N37" s="11" t="s">
        <v>195</v>
      </c>
      <c r="O37" s="3" t="s">
        <v>195</v>
      </c>
      <c r="P37" s="3" t="s">
        <v>195</v>
      </c>
      <c r="Q37" s="12" t="s">
        <v>247</v>
      </c>
      <c r="R37" s="3" t="s">
        <v>195</v>
      </c>
      <c r="S37" s="13" t="s">
        <v>195</v>
      </c>
      <c r="T37" s="10" t="str">
        <f>VLOOKUP(A37,Listas!A$3:C$30,2,0)</f>
        <v>41101</v>
      </c>
      <c r="U37" s="3" t="s">
        <v>195</v>
      </c>
      <c r="V37" s="3" t="s">
        <v>195</v>
      </c>
      <c r="W37" s="5" t="s">
        <v>195</v>
      </c>
      <c r="X37" s="3" t="s">
        <v>195</v>
      </c>
      <c r="Y37" s="3" t="s">
        <v>195</v>
      </c>
    </row>
    <row r="38" spans="1:25" x14ac:dyDescent="0.2">
      <c r="A38" s="3" t="s">
        <v>97</v>
      </c>
      <c r="B38" s="3" t="str">
        <f>VLOOKUP(A38,Listas!A$3:C$30,3,0)</f>
        <v>Secretaria Municipal de Agricultura, Abastecimento, Centro e Comércio Informal</v>
      </c>
      <c r="C38" s="12" t="s">
        <v>175</v>
      </c>
      <c r="D38" s="3" t="s">
        <v>122</v>
      </c>
      <c r="E38" s="3"/>
      <c r="F38" s="3" t="s">
        <v>131</v>
      </c>
      <c r="G38" s="3">
        <v>29393</v>
      </c>
      <c r="H38" s="5"/>
      <c r="I38" s="5">
        <f t="shared" si="0"/>
        <v>0</v>
      </c>
      <c r="J38" s="3"/>
      <c r="K38" s="3" t="s">
        <v>195</v>
      </c>
      <c r="L38" s="5">
        <v>0</v>
      </c>
      <c r="M38" s="10">
        <v>120</v>
      </c>
      <c r="N38" s="11" t="s">
        <v>195</v>
      </c>
      <c r="O38" s="3" t="s">
        <v>195</v>
      </c>
      <c r="P38" s="3" t="s">
        <v>195</v>
      </c>
      <c r="Q38" s="12" t="s">
        <v>226</v>
      </c>
      <c r="R38" s="3" t="s">
        <v>195</v>
      </c>
      <c r="S38" s="13" t="s">
        <v>195</v>
      </c>
      <c r="T38" s="10" t="str">
        <f>VLOOKUP(A38,Listas!A$3:C$30,2,0)</f>
        <v>41101</v>
      </c>
      <c r="U38" s="3" t="s">
        <v>195</v>
      </c>
      <c r="V38" s="3" t="s">
        <v>195</v>
      </c>
      <c r="W38" s="5" t="s">
        <v>195</v>
      </c>
      <c r="X38" s="3" t="s">
        <v>195</v>
      </c>
      <c r="Y38" s="3" t="s">
        <v>195</v>
      </c>
    </row>
    <row r="39" spans="1:25" x14ac:dyDescent="0.2">
      <c r="A39" s="3" t="s">
        <v>97</v>
      </c>
      <c r="B39" s="3" t="str">
        <f>VLOOKUP(A39,Listas!A$3:C$30,3,0)</f>
        <v>Secretaria Municipal de Agricultura, Abastecimento, Centro e Comércio Informal</v>
      </c>
      <c r="C39" s="12" t="s">
        <v>176</v>
      </c>
      <c r="D39" s="3" t="s">
        <v>124</v>
      </c>
      <c r="E39" s="3"/>
      <c r="F39" s="3"/>
      <c r="G39" s="3"/>
      <c r="H39" s="5"/>
      <c r="I39" s="5">
        <f t="shared" si="0"/>
        <v>0</v>
      </c>
      <c r="J39" s="3"/>
      <c r="K39" s="3" t="s">
        <v>195</v>
      </c>
      <c r="L39" s="5">
        <v>0</v>
      </c>
      <c r="M39" s="10">
        <v>121</v>
      </c>
      <c r="N39" s="11" t="s">
        <v>195</v>
      </c>
      <c r="O39" s="3" t="s">
        <v>195</v>
      </c>
      <c r="P39" s="3" t="s">
        <v>195</v>
      </c>
      <c r="Q39" s="12" t="s">
        <v>248</v>
      </c>
      <c r="R39" s="3" t="s">
        <v>195</v>
      </c>
      <c r="S39" s="13" t="s">
        <v>195</v>
      </c>
      <c r="T39" s="10" t="str">
        <f>VLOOKUP(A39,Listas!A$3:C$30,2,0)</f>
        <v>41101</v>
      </c>
      <c r="U39" s="3" t="s">
        <v>195</v>
      </c>
      <c r="V39" s="3" t="s">
        <v>195</v>
      </c>
      <c r="W39" s="5" t="s">
        <v>195</v>
      </c>
      <c r="X39" s="3" t="s">
        <v>195</v>
      </c>
      <c r="Y39" s="3" t="s">
        <v>195</v>
      </c>
    </row>
    <row r="40" spans="1:25" x14ac:dyDescent="0.2">
      <c r="A40" s="3" t="s">
        <v>97</v>
      </c>
      <c r="B40" s="3" t="str">
        <f>VLOOKUP(A40,Listas!A$3:C$30,3,0)</f>
        <v>Secretaria Municipal de Agricultura, Abastecimento, Centro e Comércio Informal</v>
      </c>
      <c r="C40" s="12" t="s">
        <v>177</v>
      </c>
      <c r="D40" s="3" t="s">
        <v>124</v>
      </c>
      <c r="E40" s="3"/>
      <c r="F40" s="3"/>
      <c r="G40" s="3"/>
      <c r="H40" s="5"/>
      <c r="I40" s="5">
        <f t="shared" si="0"/>
        <v>0</v>
      </c>
      <c r="J40" s="3"/>
      <c r="K40" s="3" t="s">
        <v>195</v>
      </c>
      <c r="L40" s="5">
        <v>0</v>
      </c>
      <c r="M40" s="10">
        <v>122</v>
      </c>
      <c r="N40" s="11" t="s">
        <v>195</v>
      </c>
      <c r="O40" s="3" t="s">
        <v>195</v>
      </c>
      <c r="P40" s="3" t="s">
        <v>195</v>
      </c>
      <c r="Q40" s="12" t="s">
        <v>249</v>
      </c>
      <c r="R40" s="3" t="s">
        <v>195</v>
      </c>
      <c r="S40" s="13" t="s">
        <v>195</v>
      </c>
      <c r="T40" s="10" t="str">
        <f>VLOOKUP(A40,Listas!A$3:C$30,2,0)</f>
        <v>41101</v>
      </c>
      <c r="U40" s="3" t="s">
        <v>195</v>
      </c>
      <c r="V40" s="3" t="s">
        <v>195</v>
      </c>
      <c r="W40" s="5" t="s">
        <v>195</v>
      </c>
      <c r="X40" s="3" t="s">
        <v>195</v>
      </c>
      <c r="Y40" s="3" t="s">
        <v>195</v>
      </c>
    </row>
    <row r="41" spans="1:25" x14ac:dyDescent="0.2">
      <c r="A41" s="3" t="s">
        <v>97</v>
      </c>
      <c r="B41" s="3" t="str">
        <f>VLOOKUP(A41,Listas!A$3:C$30,3,0)</f>
        <v>Secretaria Municipal de Agricultura, Abastecimento, Centro e Comércio Informal</v>
      </c>
      <c r="C41" s="12" t="s">
        <v>178</v>
      </c>
      <c r="D41" s="3" t="s">
        <v>122</v>
      </c>
      <c r="E41" s="3"/>
      <c r="F41" s="3"/>
      <c r="G41" s="3"/>
      <c r="H41" s="5"/>
      <c r="I41" s="5">
        <f t="shared" si="0"/>
        <v>0</v>
      </c>
      <c r="J41" s="3"/>
      <c r="K41" s="3" t="s">
        <v>195</v>
      </c>
      <c r="L41" s="5">
        <v>0</v>
      </c>
      <c r="M41" s="10">
        <v>123</v>
      </c>
      <c r="N41" s="11" t="s">
        <v>195</v>
      </c>
      <c r="O41" s="3" t="s">
        <v>195</v>
      </c>
      <c r="P41" s="3" t="s">
        <v>195</v>
      </c>
      <c r="Q41" s="12" t="s">
        <v>250</v>
      </c>
      <c r="R41" s="3" t="s">
        <v>195</v>
      </c>
      <c r="S41" s="13" t="s">
        <v>195</v>
      </c>
      <c r="T41" s="10" t="str">
        <f>VLOOKUP(A41,Listas!A$3:C$30,2,0)</f>
        <v>41101</v>
      </c>
      <c r="U41" s="3" t="s">
        <v>195</v>
      </c>
      <c r="V41" s="3" t="s">
        <v>195</v>
      </c>
      <c r="W41" s="5" t="s">
        <v>195</v>
      </c>
      <c r="X41" s="3" t="s">
        <v>195</v>
      </c>
      <c r="Y41" s="3" t="s">
        <v>195</v>
      </c>
    </row>
    <row r="42" spans="1:25" x14ac:dyDescent="0.2">
      <c r="A42" s="3" t="s">
        <v>97</v>
      </c>
      <c r="B42" s="3" t="str">
        <f>VLOOKUP(A42,Listas!A$3:C$30,3,0)</f>
        <v>Secretaria Municipal de Agricultura, Abastecimento, Centro e Comércio Informal</v>
      </c>
      <c r="C42" s="12" t="s">
        <v>179</v>
      </c>
      <c r="D42" s="3" t="s">
        <v>124</v>
      </c>
      <c r="E42" s="3"/>
      <c r="F42" s="3"/>
      <c r="G42" s="3"/>
      <c r="H42" s="5"/>
      <c r="I42" s="5">
        <f t="shared" si="0"/>
        <v>0</v>
      </c>
      <c r="J42" s="3"/>
      <c r="K42" s="3" t="s">
        <v>195</v>
      </c>
      <c r="L42" s="5">
        <v>0</v>
      </c>
      <c r="M42" s="10">
        <v>124</v>
      </c>
      <c r="N42" s="11" t="s">
        <v>195</v>
      </c>
      <c r="O42" s="3" t="s">
        <v>195</v>
      </c>
      <c r="P42" s="3" t="s">
        <v>195</v>
      </c>
      <c r="Q42" s="12" t="s">
        <v>251</v>
      </c>
      <c r="R42" s="3" t="s">
        <v>195</v>
      </c>
      <c r="S42" s="13" t="s">
        <v>195</v>
      </c>
      <c r="T42" s="10" t="str">
        <f>VLOOKUP(A42,Listas!A$3:C$30,2,0)</f>
        <v>41101</v>
      </c>
      <c r="U42" s="3" t="s">
        <v>195</v>
      </c>
      <c r="V42" s="3" t="s">
        <v>195</v>
      </c>
      <c r="W42" s="5" t="s">
        <v>195</v>
      </c>
      <c r="X42" s="3" t="s">
        <v>195</v>
      </c>
      <c r="Y42" s="3" t="s">
        <v>195</v>
      </c>
    </row>
    <row r="43" spans="1:25" x14ac:dyDescent="0.2">
      <c r="A43" s="3" t="s">
        <v>97</v>
      </c>
      <c r="B43" s="3" t="str">
        <f>VLOOKUP(A43,Listas!A$3:C$30,3,0)</f>
        <v>Secretaria Municipal de Agricultura, Abastecimento, Centro e Comércio Informal</v>
      </c>
      <c r="C43" s="12" t="s">
        <v>180</v>
      </c>
      <c r="D43" s="3" t="s">
        <v>130</v>
      </c>
      <c r="E43" s="3"/>
      <c r="F43" s="3"/>
      <c r="G43" s="3"/>
      <c r="H43" s="5"/>
      <c r="I43" s="5">
        <f t="shared" si="0"/>
        <v>0</v>
      </c>
      <c r="J43" s="3"/>
      <c r="K43" s="3" t="s">
        <v>195</v>
      </c>
      <c r="L43" s="5">
        <v>0</v>
      </c>
      <c r="M43" s="10">
        <v>125</v>
      </c>
      <c r="N43" s="11" t="s">
        <v>195</v>
      </c>
      <c r="O43" s="3" t="s">
        <v>195</v>
      </c>
      <c r="P43" s="3" t="s">
        <v>195</v>
      </c>
      <c r="Q43" s="12" t="s">
        <v>252</v>
      </c>
      <c r="R43" s="3" t="s">
        <v>195</v>
      </c>
      <c r="S43" s="13" t="s">
        <v>195</v>
      </c>
      <c r="T43" s="10" t="str">
        <f>VLOOKUP(A43,Listas!A$3:C$30,2,0)</f>
        <v>41101</v>
      </c>
      <c r="U43" s="3" t="s">
        <v>195</v>
      </c>
      <c r="V43" s="3" t="s">
        <v>195</v>
      </c>
      <c r="W43" s="5" t="s">
        <v>195</v>
      </c>
      <c r="X43" s="3" t="s">
        <v>195</v>
      </c>
      <c r="Y43" s="3" t="s">
        <v>195</v>
      </c>
    </row>
    <row r="44" spans="1:25" x14ac:dyDescent="0.2">
      <c r="A44" s="3" t="s">
        <v>97</v>
      </c>
      <c r="B44" s="3" t="str">
        <f>VLOOKUP(A44,Listas!A$3:C$30,3,0)</f>
        <v>Secretaria Municipal de Agricultura, Abastecimento, Centro e Comércio Informal</v>
      </c>
      <c r="C44" s="12" t="s">
        <v>181</v>
      </c>
      <c r="D44" s="3" t="s">
        <v>125</v>
      </c>
      <c r="E44" s="3" t="s">
        <v>137</v>
      </c>
      <c r="F44" s="3" t="s">
        <v>133</v>
      </c>
      <c r="G44" s="3">
        <v>57563</v>
      </c>
      <c r="H44" s="5"/>
      <c r="I44" s="5">
        <f t="shared" si="0"/>
        <v>0</v>
      </c>
      <c r="J44" s="3"/>
      <c r="K44" s="9">
        <v>44824</v>
      </c>
      <c r="L44" s="5">
        <v>0</v>
      </c>
      <c r="M44" s="10">
        <v>126</v>
      </c>
      <c r="N44" s="11" t="s">
        <v>192</v>
      </c>
      <c r="O44" s="3">
        <v>5429</v>
      </c>
      <c r="P44" s="3" t="s">
        <v>195</v>
      </c>
      <c r="Q44" s="12" t="s">
        <v>206</v>
      </c>
      <c r="R44" s="3" t="s">
        <v>191</v>
      </c>
      <c r="S44" s="13" t="s">
        <v>195</v>
      </c>
      <c r="T44" s="10" t="str">
        <f>VLOOKUP(A44,Listas!A$3:C$30,2,0)</f>
        <v>41101</v>
      </c>
      <c r="U44" s="3" t="s">
        <v>195</v>
      </c>
      <c r="V44" s="3" t="s">
        <v>195</v>
      </c>
      <c r="W44" s="5" t="s">
        <v>195</v>
      </c>
      <c r="X44" s="3" t="s">
        <v>195</v>
      </c>
      <c r="Y44" s="3" t="s">
        <v>195</v>
      </c>
    </row>
    <row r="45" spans="1:25" x14ac:dyDescent="0.2">
      <c r="A45" s="3" t="s">
        <v>97</v>
      </c>
      <c r="B45" s="3" t="str">
        <f>VLOOKUP(A45,Listas!A$3:C$30,3,0)</f>
        <v>Secretaria Municipal de Agricultura, Abastecimento, Centro e Comércio Informal</v>
      </c>
      <c r="C45" s="12" t="s">
        <v>182</v>
      </c>
      <c r="D45" s="3" t="s">
        <v>126</v>
      </c>
      <c r="E45" s="3" t="s">
        <v>136</v>
      </c>
      <c r="F45" s="3" t="s">
        <v>134</v>
      </c>
      <c r="G45" s="3">
        <v>1635</v>
      </c>
      <c r="H45" s="5">
        <v>803602.42</v>
      </c>
      <c r="I45" s="5">
        <f t="shared" si="0"/>
        <v>3322558.1999999997</v>
      </c>
      <c r="J45" s="3"/>
      <c r="K45" s="3" t="s">
        <v>195</v>
      </c>
      <c r="L45" s="5">
        <v>2518955.7799999998</v>
      </c>
      <c r="M45" s="10">
        <v>127</v>
      </c>
      <c r="N45" s="11" t="s">
        <v>195</v>
      </c>
      <c r="O45" s="3" t="s">
        <v>195</v>
      </c>
      <c r="P45" s="3" t="s">
        <v>195</v>
      </c>
      <c r="Q45" s="12" t="s">
        <v>207</v>
      </c>
      <c r="R45" s="3" t="s">
        <v>195</v>
      </c>
      <c r="S45" s="13" t="s">
        <v>195</v>
      </c>
      <c r="T45" s="10" t="str">
        <f>VLOOKUP(A45,Listas!A$3:C$30,2,0)</f>
        <v>41101</v>
      </c>
      <c r="U45" s="3" t="s">
        <v>195</v>
      </c>
      <c r="V45" s="3" t="s">
        <v>195</v>
      </c>
      <c r="W45" s="5" t="s">
        <v>195</v>
      </c>
      <c r="X45" s="3" t="s">
        <v>195</v>
      </c>
      <c r="Y45" s="3" t="s">
        <v>195</v>
      </c>
    </row>
    <row r="46" spans="1:25" x14ac:dyDescent="0.2">
      <c r="A46" s="3" t="s">
        <v>97</v>
      </c>
      <c r="B46" s="3" t="str">
        <f>VLOOKUP(A46,Listas!A$3:C$30,3,0)</f>
        <v>Secretaria Municipal de Agricultura, Abastecimento, Centro e Comércio Informal</v>
      </c>
      <c r="C46" s="12" t="s">
        <v>183</v>
      </c>
      <c r="D46" s="3" t="s">
        <v>127</v>
      </c>
      <c r="E46" s="3" t="s">
        <v>136</v>
      </c>
      <c r="F46" s="3" t="s">
        <v>133</v>
      </c>
      <c r="G46" s="3">
        <v>2331</v>
      </c>
      <c r="H46" s="5">
        <v>896435.85</v>
      </c>
      <c r="I46" s="5">
        <f t="shared" si="0"/>
        <v>2906648.4899999998</v>
      </c>
      <c r="J46" s="3"/>
      <c r="K46" s="3" t="s">
        <v>195</v>
      </c>
      <c r="L46" s="5">
        <v>2010212.64</v>
      </c>
      <c r="M46" s="10">
        <v>128</v>
      </c>
      <c r="N46" s="11" t="s">
        <v>195</v>
      </c>
      <c r="O46" s="3" t="s">
        <v>195</v>
      </c>
      <c r="P46" s="3" t="s">
        <v>195</v>
      </c>
      <c r="Q46" s="12" t="s">
        <v>208</v>
      </c>
      <c r="R46" s="3" t="s">
        <v>195</v>
      </c>
      <c r="S46" s="13" t="s">
        <v>195</v>
      </c>
      <c r="T46" s="10" t="str">
        <f>VLOOKUP(A46,Listas!A$3:C$30,2,0)</f>
        <v>41101</v>
      </c>
      <c r="U46" s="3" t="s">
        <v>195</v>
      </c>
      <c r="V46" s="3" t="s">
        <v>195</v>
      </c>
      <c r="W46" s="5" t="s">
        <v>195</v>
      </c>
      <c r="X46" s="3" t="s">
        <v>195</v>
      </c>
      <c r="Y46" s="3" t="s">
        <v>195</v>
      </c>
    </row>
    <row r="47" spans="1:25" x14ac:dyDescent="0.2">
      <c r="A47" s="3" t="s">
        <v>97</v>
      </c>
      <c r="B47" s="3" t="str">
        <f>VLOOKUP(A47,Listas!A$3:C$30,3,0)</f>
        <v>Secretaria Municipal de Agricultura, Abastecimento, Centro e Comércio Informal</v>
      </c>
      <c r="C47" s="12" t="s">
        <v>184</v>
      </c>
      <c r="D47" s="3" t="s">
        <v>124</v>
      </c>
      <c r="E47" s="3" t="s">
        <v>136</v>
      </c>
      <c r="F47" s="3" t="s">
        <v>133</v>
      </c>
      <c r="G47" s="3">
        <v>35105</v>
      </c>
      <c r="H47" s="5">
        <v>1797408.98</v>
      </c>
      <c r="I47" s="5">
        <f t="shared" ref="I47:I52" si="1">H47+L47</f>
        <v>3879880.46</v>
      </c>
      <c r="J47" s="3"/>
      <c r="K47" s="9">
        <v>44523</v>
      </c>
      <c r="L47" s="5">
        <v>2082471.48</v>
      </c>
      <c r="M47" s="10">
        <v>129</v>
      </c>
      <c r="N47" s="11" t="s">
        <v>193</v>
      </c>
      <c r="O47" s="3">
        <v>5228</v>
      </c>
      <c r="P47" s="3" t="s">
        <v>195</v>
      </c>
      <c r="Q47" s="12" t="s">
        <v>209</v>
      </c>
      <c r="R47" s="3" t="s">
        <v>191</v>
      </c>
      <c r="S47" s="13" t="s">
        <v>195</v>
      </c>
      <c r="T47" s="10" t="str">
        <f>VLOOKUP(A47,Listas!A$3:C$30,2,0)</f>
        <v>41101</v>
      </c>
      <c r="U47" s="3" t="s">
        <v>195</v>
      </c>
      <c r="V47" s="3" t="s">
        <v>195</v>
      </c>
      <c r="W47" s="5" t="s">
        <v>195</v>
      </c>
      <c r="X47" s="3" t="s">
        <v>195</v>
      </c>
      <c r="Y47" s="3" t="s">
        <v>195</v>
      </c>
    </row>
    <row r="48" spans="1:25" x14ac:dyDescent="0.2">
      <c r="A48" s="3" t="s">
        <v>97</v>
      </c>
      <c r="B48" s="3" t="str">
        <f>VLOOKUP(A48,Listas!A$3:C$30,3,0)</f>
        <v>Secretaria Municipal de Agricultura, Abastecimento, Centro e Comércio Informal</v>
      </c>
      <c r="C48" s="12" t="s">
        <v>185</v>
      </c>
      <c r="D48" s="3" t="s">
        <v>125</v>
      </c>
      <c r="E48" s="3" t="s">
        <v>136</v>
      </c>
      <c r="F48" s="3" t="s">
        <v>132</v>
      </c>
      <c r="G48" s="3">
        <v>16464</v>
      </c>
      <c r="H48" s="5">
        <v>3804386</v>
      </c>
      <c r="I48" s="5">
        <f t="shared" si="1"/>
        <v>4070105.2800000003</v>
      </c>
      <c r="J48" s="3"/>
      <c r="K48" s="3" t="s">
        <v>195</v>
      </c>
      <c r="L48" s="5">
        <v>265719.28000000003</v>
      </c>
      <c r="M48" s="10">
        <v>130</v>
      </c>
      <c r="N48" s="11" t="s">
        <v>195</v>
      </c>
      <c r="O48" s="3" t="s">
        <v>195</v>
      </c>
      <c r="P48" s="3" t="s">
        <v>195</v>
      </c>
      <c r="Q48" s="12" t="s">
        <v>210</v>
      </c>
      <c r="R48" s="3" t="s">
        <v>195</v>
      </c>
      <c r="S48" s="13" t="s">
        <v>195</v>
      </c>
      <c r="T48" s="10" t="str">
        <f>VLOOKUP(A48,Listas!A$3:C$30,2,0)</f>
        <v>41101</v>
      </c>
      <c r="U48" s="3" t="s">
        <v>195</v>
      </c>
      <c r="V48" s="3" t="s">
        <v>195</v>
      </c>
      <c r="W48" s="5" t="s">
        <v>195</v>
      </c>
      <c r="X48" s="3" t="s">
        <v>195</v>
      </c>
      <c r="Y48" s="3" t="s">
        <v>195</v>
      </c>
    </row>
    <row r="49" spans="1:25" x14ac:dyDescent="0.2">
      <c r="A49" s="3" t="s">
        <v>97</v>
      </c>
      <c r="B49" s="3" t="str">
        <f>VLOOKUP(A49,Listas!A$3:C$30,3,0)</f>
        <v>Secretaria Municipal de Agricultura, Abastecimento, Centro e Comércio Informal</v>
      </c>
      <c r="C49" s="12" t="s">
        <v>186</v>
      </c>
      <c r="D49" s="3" t="s">
        <v>124</v>
      </c>
      <c r="E49" s="3" t="s">
        <v>136</v>
      </c>
      <c r="F49" s="3" t="s">
        <v>132</v>
      </c>
      <c r="G49" s="3">
        <v>16465</v>
      </c>
      <c r="H49" s="5">
        <v>481355.34</v>
      </c>
      <c r="I49" s="5">
        <f t="shared" si="1"/>
        <v>1420935.6300000001</v>
      </c>
      <c r="J49" s="3"/>
      <c r="K49" s="9">
        <v>44523</v>
      </c>
      <c r="L49" s="5">
        <v>939580.29</v>
      </c>
      <c r="M49" s="10">
        <v>131</v>
      </c>
      <c r="N49" s="11" t="s">
        <v>194</v>
      </c>
      <c r="O49" s="3">
        <v>5228</v>
      </c>
      <c r="P49" s="3" t="s">
        <v>195</v>
      </c>
      <c r="Q49" s="12" t="s">
        <v>211</v>
      </c>
      <c r="R49" s="3" t="s">
        <v>191</v>
      </c>
      <c r="S49" s="13" t="s">
        <v>195</v>
      </c>
      <c r="T49" s="10" t="str">
        <f>VLOOKUP(A49,Listas!A$3:C$30,2,0)</f>
        <v>41101</v>
      </c>
      <c r="U49" s="3" t="s">
        <v>195</v>
      </c>
      <c r="V49" s="3" t="s">
        <v>195</v>
      </c>
      <c r="W49" s="5" t="s">
        <v>195</v>
      </c>
      <c r="X49" s="3" t="s">
        <v>195</v>
      </c>
      <c r="Y49" s="3" t="s">
        <v>195</v>
      </c>
    </row>
    <row r="50" spans="1:25" x14ac:dyDescent="0.2">
      <c r="A50" s="3" t="s">
        <v>97</v>
      </c>
      <c r="B50" s="3" t="str">
        <f>VLOOKUP(A50,Listas!A$3:C$30,3,0)</f>
        <v>Secretaria Municipal de Agricultura, Abastecimento, Centro e Comércio Informal</v>
      </c>
      <c r="C50" s="12" t="s">
        <v>187</v>
      </c>
      <c r="D50" s="3" t="s">
        <v>124</v>
      </c>
      <c r="E50" s="3" t="s">
        <v>136</v>
      </c>
      <c r="F50" s="3" t="s">
        <v>133</v>
      </c>
      <c r="G50" s="3">
        <v>55146</v>
      </c>
      <c r="H50" s="5"/>
      <c r="I50" s="5">
        <f t="shared" si="1"/>
        <v>0</v>
      </c>
      <c r="J50" s="3"/>
      <c r="K50" s="3" t="s">
        <v>195</v>
      </c>
      <c r="L50" s="5">
        <v>0</v>
      </c>
      <c r="M50" s="10">
        <v>132</v>
      </c>
      <c r="N50" s="11" t="s">
        <v>195</v>
      </c>
      <c r="O50" s="3" t="s">
        <v>195</v>
      </c>
      <c r="P50" s="3" t="s">
        <v>195</v>
      </c>
      <c r="Q50" s="12" t="s">
        <v>212</v>
      </c>
      <c r="R50" s="3" t="s">
        <v>195</v>
      </c>
      <c r="S50" s="13" t="s">
        <v>195</v>
      </c>
      <c r="T50" s="10" t="str">
        <f>VLOOKUP(A50,Listas!A$3:C$30,2,0)</f>
        <v>41101</v>
      </c>
      <c r="U50" s="3" t="s">
        <v>195</v>
      </c>
      <c r="V50" s="3" t="s">
        <v>195</v>
      </c>
      <c r="W50" s="5" t="s">
        <v>195</v>
      </c>
      <c r="X50" s="3" t="s">
        <v>195</v>
      </c>
      <c r="Y50" s="3" t="s">
        <v>195</v>
      </c>
    </row>
    <row r="51" spans="1:25" x14ac:dyDescent="0.2">
      <c r="A51" s="3" t="s">
        <v>97</v>
      </c>
      <c r="B51" s="3" t="str">
        <f>VLOOKUP(A51,Listas!A$3:C$30,3,0)</f>
        <v>Secretaria Municipal de Agricultura, Abastecimento, Centro e Comércio Informal</v>
      </c>
      <c r="C51" s="12" t="s">
        <v>188</v>
      </c>
      <c r="D51" s="3" t="s">
        <v>127</v>
      </c>
      <c r="E51" s="3" t="s">
        <v>136</v>
      </c>
      <c r="F51" s="3" t="s">
        <v>135</v>
      </c>
      <c r="G51" s="3">
        <v>14515</v>
      </c>
      <c r="H51" s="5"/>
      <c r="I51" s="5">
        <f t="shared" si="1"/>
        <v>0</v>
      </c>
      <c r="J51" s="3"/>
      <c r="K51" s="3" t="s">
        <v>195</v>
      </c>
      <c r="L51" s="5">
        <v>0</v>
      </c>
      <c r="M51" s="10">
        <v>133</v>
      </c>
      <c r="N51" s="11" t="s">
        <v>195</v>
      </c>
      <c r="O51" s="3" t="s">
        <v>195</v>
      </c>
      <c r="P51" s="3" t="s">
        <v>195</v>
      </c>
      <c r="Q51" s="12" t="s">
        <v>213</v>
      </c>
      <c r="R51" s="3" t="s">
        <v>195</v>
      </c>
      <c r="S51" s="13" t="s">
        <v>195</v>
      </c>
      <c r="T51" s="10" t="str">
        <f>VLOOKUP(A51,Listas!A$3:C$30,2,0)</f>
        <v>41101</v>
      </c>
      <c r="U51" s="3" t="s">
        <v>195</v>
      </c>
      <c r="V51" s="3" t="s">
        <v>195</v>
      </c>
      <c r="W51" s="5" t="s">
        <v>195</v>
      </c>
      <c r="X51" s="3" t="s">
        <v>195</v>
      </c>
      <c r="Y51" s="3" t="s">
        <v>195</v>
      </c>
    </row>
    <row r="52" spans="1:25" x14ac:dyDescent="0.2">
      <c r="A52" s="3" t="s">
        <v>97</v>
      </c>
      <c r="B52" s="3" t="str">
        <f>VLOOKUP(A52,Listas!A$3:C$30,3,0)</f>
        <v>Secretaria Municipal de Agricultura, Abastecimento, Centro e Comércio Informal</v>
      </c>
      <c r="C52" s="12" t="s">
        <v>189</v>
      </c>
      <c r="D52" s="3" t="s">
        <v>124</v>
      </c>
      <c r="E52" s="3" t="s">
        <v>136</v>
      </c>
      <c r="F52" s="3" t="s">
        <v>133</v>
      </c>
      <c r="G52" s="3">
        <v>51805</v>
      </c>
      <c r="H52" s="5">
        <v>672424.27</v>
      </c>
      <c r="I52" s="5">
        <f t="shared" si="1"/>
        <v>1138433.7</v>
      </c>
      <c r="J52" s="3"/>
      <c r="K52" s="3" t="s">
        <v>195</v>
      </c>
      <c r="L52" s="5">
        <v>466009.43</v>
      </c>
      <c r="M52" s="10">
        <v>134</v>
      </c>
      <c r="N52" s="11" t="s">
        <v>195</v>
      </c>
      <c r="O52" s="3" t="s">
        <v>195</v>
      </c>
      <c r="P52" s="3" t="s">
        <v>195</v>
      </c>
      <c r="Q52" s="12" t="s">
        <v>214</v>
      </c>
      <c r="R52" s="3" t="s">
        <v>195</v>
      </c>
      <c r="S52" s="13" t="s">
        <v>195</v>
      </c>
      <c r="T52" s="10" t="str">
        <f>VLOOKUP(A52,Listas!A$3:C$30,2,0)</f>
        <v>41101</v>
      </c>
      <c r="U52" s="3" t="s">
        <v>195</v>
      </c>
      <c r="V52" s="3" t="s">
        <v>195</v>
      </c>
      <c r="W52" s="5" t="s">
        <v>195</v>
      </c>
      <c r="X52" s="3" t="s">
        <v>195</v>
      </c>
      <c r="Y52" s="3" t="s">
        <v>195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S4:S52</xm:sqref>
        </x14:dataValidation>
        <x14:dataValidation type="list" allowBlank="1" showInputMessage="1" showErrorMessage="1">
          <x14:formula1>
            <xm:f>Listas!$D$3:$D$8</xm:f>
          </x14:formula1>
          <xm:sqref>P4:P52</xm:sqref>
        </x14:dataValidation>
        <x14:dataValidation type="list" allowBlank="1" showInputMessage="1" showErrorMessage="1">
          <x14:formula1>
            <xm:f>Listas!$E$3:$E$10</xm:f>
          </x14:formula1>
          <xm:sqref>D4:D52</xm:sqref>
        </x14:dataValidation>
        <x14:dataValidation type="list" allowBlank="1" showInputMessage="1" showErrorMessage="1">
          <x14:formula1>
            <xm:f>Listas!$A$3:$A$30</xm:f>
          </x14:formula1>
          <xm:sqref>A4:A52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195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195</v>
      </c>
      <c r="G8" s="6" t="s">
        <v>195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138</v>
      </c>
      <c r="B27" s="6" t="s">
        <v>139</v>
      </c>
      <c r="C27" s="6" t="s">
        <v>140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2026-04-28T19:39:37Z</dcterms:modified>
</cp:coreProperties>
</file>