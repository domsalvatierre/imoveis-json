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 s="1"/>
  <c r="A10" i="1" s="1"/>
  <c r="A11" i="1" s="1"/>
  <c r="A4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</calcChain>
</file>

<file path=xl/sharedStrings.xml><?xml version="1.0" encoding="utf-8"?>
<sst xmlns="http://schemas.openxmlformats.org/spreadsheetml/2006/main" count="248" uniqueCount="142">
  <si>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</si>
  <si>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</si>
  <si>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</si>
  <si>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</si>
  <si>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</si>
  <si>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</si>
  <si>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</si>
  <si>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</si>
  <si>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</si>
  <si>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</si>
  <si>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</si>
  <si>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</si>
  <si>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</si>
  <si>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</si>
  <si>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</si>
  <si>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</si>
  <si>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</si>
  <si>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</si>
  <si>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</si>
  <si>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</si>
  <si>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</si>
  <si>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</si>
  <si>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</si>
  <si>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</si>
  <si>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</si>
  <si>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</si>
  <si>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</si>
  <si>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</si>
  <si>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</si>
  <si>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</si>
  <si>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</si>
  <si>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</si>
  <si>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</si>
  <si>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</si>
  <si>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</si>
  <si>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</si>
  <si>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</si>
  <si>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</si>
  <si>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</si>
  <si>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</si>
  <si>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</si>
  <si>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</si>
  <si>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</si>
  <si>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</si>
  <si>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</si>
  <si>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</si>
  <si>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</si>
  <si>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</si>
  <si>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</si>
  <si>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</si>
  <si>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</si>
  <si>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</si>
  <si>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</si>
  <si>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</si>
  <si>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</si>
  <si>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</si>
  <si>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</si>
  <si>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</si>
  <si>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</si>
  <si>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</si>
  <si>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</si>
  <si>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</si>
  <si>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</si>
  <si>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</si>
  <si>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</si>
  <si>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</si>
  <si>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</si>
  <si>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</si>
  <si>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</si>
  <si>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</si>
  <si>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</si>
  <si>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</si>
  <si>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</si>
  <si>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</si>
  <si>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</si>
  <si>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</si>
  <si>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</si>
  <si>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</si>
  <si>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</si>
  <si>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</si>
  <si>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</si>
  <si>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</si>
  <si>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</si>
  <si>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</si>
  <si>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</si>
  <si>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</si>
  <si>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</si>
  <si>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</si>
  <si>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</si>
  <si>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</si>
  <si>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</si>
  <si>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</si>
  <si>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</si>
  <si>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</si>
  <si>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</si>
  <si>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</si>
  <si>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</si>
  <si>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</si>
  <si>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</si>
  <si>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</si>
  <si>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</si>
  <si>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</si>
  <si>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</si>
  <si>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</si>
  <si>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</si>
  <si>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</si>
  <si>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</si>
  <si>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</si>
  <si>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</si>
  <si>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</si>
  <si>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</si>
  <si>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</si>
  <si>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</si>
  <si>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</si>
  <si>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</si>
  <si>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</si>
  <si>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</si>
  <si>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</si>
  <si>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</si>
  <si>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</si>
  <si>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</si>
  <si>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R. Miranda Leão, 82 - Centro - CEP 69.005-040.</t>
  </si>
  <si>
    <t>Av. Coronel Teixeira, S/N - Ponta Negra - CEP 69.037-000.</t>
  </si>
  <si>
    <t xml:space="preserve">Av. Camapuã, 2939 - Cidade de Deus - CEP 69.099-031 </t>
  </si>
  <si>
    <t>R. Miranda Leão, 98 - Centro - CEP 69.005-040.</t>
  </si>
  <si>
    <t>R. Miranda Leão, 301 - Centro - CEP 69.005-040.</t>
  </si>
  <si>
    <t>R. Miranda Leão, 307 - Centro - CEP 69.005-040.</t>
  </si>
  <si>
    <t>R. Joaquim Sarmento (esquina com Rua 24 de Maio), 119 - Centro - CEP 69.010-020.</t>
  </si>
  <si>
    <t>R. Bernardo Ramos, s/n - Centro - CEP 69.005-310.</t>
  </si>
  <si>
    <t>R. Prímula, S/N - Distrito Industrial II  - CEP 69.099-633.</t>
  </si>
  <si>
    <t>Escritório de Representação em Brasília</t>
  </si>
  <si>
    <t>SEMSA</t>
  </si>
  <si>
    <t>23000</t>
  </si>
  <si>
    <t>Secretaria Municipal de Saúde</t>
  </si>
  <si>
    <t>SIGLA UG</t>
  </si>
  <si>
    <t>Lei nº 3071, 15/06/2023</t>
  </si>
  <si>
    <t>002/2023</t>
  </si>
  <si>
    <t>003/2023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</si>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</sst>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zoomScale="115" zoomScaleNormal="115" workbookViewId="0">
      <pane ySplit="2" topLeftCell="A3" activePane="bottomLeft" state="frozen"/>
      <selection pane="bottomLeft" activeCell="B17" sqref="B17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141</v>
      </c>
      <c r="B2" s="14" t="s">
        <v>134</v>
      </c>
      <c r="C2" s="10" t="s">
        <v>38</v>
      </c>
      <c r="D2" s="10" t="s">
        <v>75</v>
      </c>
      <c r="E2" s="10" t="s">
        <v>0</v>
      </c>
      <c r="F2" s="10" t="s">
        <v>140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69</v>
      </c>
      <c r="C3" s="3" t="str">
        <f>VLOOKUP(B3,Listas!A$3:C$30,3,0)</f>
        <v>Secretaria Municipal do Trabalho, Empreendedorismo e Inovação</v>
      </c>
      <c r="D3" s="3" t="str">
        <f>VLOOKUP(B3,Listas!A$3:C$30,2,0)</f>
        <v>21101</v>
      </c>
      <c r="E3" s="13" t="s">
        <v>123</v>
      </c>
      <c r="F3" s="3" t="s">
        <v>139</v>
      </c>
      <c r="G3" s="3" t="s">
        <v>139</v>
      </c>
      <c r="H3" s="5" t="s">
        <v>139</v>
      </c>
      <c r="I3" s="5"/>
      <c r="J3" s="3" t="s">
        <v>139</v>
      </c>
      <c r="K3" s="12" t="s">
        <v>139</v>
      </c>
      <c r="L3" s="3" t="s">
        <v>139</v>
      </c>
      <c r="M3" s="3" t="s">
        <v>139</v>
      </c>
      <c r="N3" s="3" t="s">
        <v>139</v>
      </c>
      <c r="O3" s="3" t="s">
        <v>139</v>
      </c>
      <c r="P3" s="3" t="s">
        <v>139</v>
      </c>
      <c r="Q3" s="3" t="s">
        <v>139</v>
      </c>
    </row>
    <row r="4" spans="1:17" x14ac:dyDescent="0.2">
      <c r="A4" s="15">
        <f>A3+1</f>
        <v>2</v>
      </c>
      <c r="B4" s="3" t="s">
        <v>69</v>
      </c>
      <c r="C4" s="3" t="str">
        <f>VLOOKUP(B4,Listas!A$3:C$30,3,0)</f>
        <v>Secretaria Municipal do Trabalho, Empreendedorismo e Inovação</v>
      </c>
      <c r="D4" s="3" t="str">
        <f>VLOOKUP(B4,Listas!A$3:C$30,2,0)</f>
        <v>21101</v>
      </c>
      <c r="E4" s="13" t="s">
        <v>124</v>
      </c>
      <c r="F4" s="3" t="s">
        <v>139</v>
      </c>
      <c r="G4" s="3" t="s">
        <v>139</v>
      </c>
      <c r="H4" s="5" t="s">
        <v>139</v>
      </c>
      <c r="I4" s="5"/>
      <c r="J4" s="3" t="s">
        <v>139</v>
      </c>
      <c r="K4" s="12" t="s">
        <v>139</v>
      </c>
      <c r="L4" s="3" t="s">
        <v>139</v>
      </c>
      <c r="M4" s="3" t="s">
        <v>139</v>
      </c>
      <c r="N4" s="3" t="s">
        <v>139</v>
      </c>
      <c r="O4" s="3" t="s">
        <v>139</v>
      </c>
      <c r="P4" s="3" t="s">
        <v>139</v>
      </c>
      <c r="Q4" s="3" t="s">
        <v>139</v>
      </c>
    </row>
    <row r="5" spans="1:17" x14ac:dyDescent="0.2">
      <c r="A5" s="15">
        <f t="shared" ref="A5:A11" si="0">A4+1</f>
        <v>3</v>
      </c>
      <c r="B5" s="3" t="s">
        <v>69</v>
      </c>
      <c r="C5" s="3" t="str">
        <f>VLOOKUP(B5,Listas!A$3:C$30,3,0)</f>
        <v>Secretaria Municipal do Trabalho, Empreendedorismo e Inovação</v>
      </c>
      <c r="D5" s="3" t="str">
        <f>VLOOKUP(B5,Listas!A$3:C$30,2,0)</f>
        <v>21101</v>
      </c>
      <c r="E5" s="13" t="s">
        <v>121</v>
      </c>
      <c r="F5" s="3" t="s">
        <v>139</v>
      </c>
      <c r="G5" s="3" t="s">
        <v>139</v>
      </c>
      <c r="H5" s="5" t="s">
        <v>139</v>
      </c>
      <c r="I5" s="5"/>
      <c r="J5" s="3" t="s">
        <v>139</v>
      </c>
      <c r="K5" s="12" t="s">
        <v>136</v>
      </c>
      <c r="L5" s="3">
        <v>5599</v>
      </c>
      <c r="M5" s="3" t="s">
        <v>135</v>
      </c>
      <c r="N5" s="3" t="s">
        <v>139</v>
      </c>
      <c r="O5" s="3" t="s">
        <v>139</v>
      </c>
      <c r="P5" s="3" t="s">
        <v>139</v>
      </c>
      <c r="Q5" s="3" t="s">
        <v>139</v>
      </c>
    </row>
    <row r="6" spans="1:17" x14ac:dyDescent="0.2">
      <c r="A6" s="15">
        <f t="shared" si="0"/>
        <v>4</v>
      </c>
      <c r="B6" s="3" t="s">
        <v>69</v>
      </c>
      <c r="C6" s="3" t="str">
        <f>VLOOKUP(B6,Listas!A$3:C$30,3,0)</f>
        <v>Secretaria Municipal do Trabalho, Empreendedorismo e Inovação</v>
      </c>
      <c r="D6" s="3" t="str">
        <f>VLOOKUP(B6,Listas!A$3:C$30,2,0)</f>
        <v>21101</v>
      </c>
      <c r="E6" s="13" t="s">
        <v>125</v>
      </c>
      <c r="F6" s="3" t="s">
        <v>139</v>
      </c>
      <c r="G6" s="3" t="s">
        <v>139</v>
      </c>
      <c r="H6" s="5" t="s">
        <v>139</v>
      </c>
      <c r="I6" s="5"/>
      <c r="J6" s="3" t="s">
        <v>139</v>
      </c>
      <c r="K6" s="12" t="s">
        <v>139</v>
      </c>
      <c r="L6" s="3" t="s">
        <v>139</v>
      </c>
      <c r="M6" s="3" t="s">
        <v>139</v>
      </c>
      <c r="N6" s="3" t="s">
        <v>139</v>
      </c>
      <c r="O6" s="3" t="s">
        <v>139</v>
      </c>
      <c r="P6" s="3" t="s">
        <v>139</v>
      </c>
      <c r="Q6" s="3" t="s">
        <v>139</v>
      </c>
    </row>
    <row r="7" spans="1:17" x14ac:dyDescent="0.2">
      <c r="A7" s="15">
        <f t="shared" si="0"/>
        <v>5</v>
      </c>
      <c r="B7" s="3" t="s">
        <v>69</v>
      </c>
      <c r="C7" s="3" t="str">
        <f>VLOOKUP(B7,Listas!A$3:C$30,3,0)</f>
        <v>Secretaria Municipal do Trabalho, Empreendedorismo e Inovação</v>
      </c>
      <c r="D7" s="3" t="str">
        <f>VLOOKUP(B7,Listas!A$3:C$30,2,0)</f>
        <v>21101</v>
      </c>
      <c r="E7" s="13" t="s">
        <v>126</v>
      </c>
      <c r="F7" s="3" t="s">
        <v>139</v>
      </c>
      <c r="G7" s="3" t="s">
        <v>139</v>
      </c>
      <c r="H7" s="5" t="s">
        <v>139</v>
      </c>
      <c r="I7" s="5"/>
      <c r="J7" s="3" t="s">
        <v>139</v>
      </c>
      <c r="K7" s="12" t="s">
        <v>139</v>
      </c>
      <c r="L7" s="3" t="s">
        <v>139</v>
      </c>
      <c r="M7" s="3" t="s">
        <v>139</v>
      </c>
      <c r="N7" s="3" t="s">
        <v>139</v>
      </c>
      <c r="O7" s="3" t="s">
        <v>139</v>
      </c>
      <c r="P7" s="3" t="s">
        <v>139</v>
      </c>
      <c r="Q7" s="3" t="s">
        <v>139</v>
      </c>
    </row>
    <row r="8" spans="1:17" x14ac:dyDescent="0.2">
      <c r="A8" s="15">
        <f t="shared" si="0"/>
        <v>6</v>
      </c>
      <c r="B8" s="3" t="s">
        <v>69</v>
      </c>
      <c r="C8" s="3" t="str">
        <f>VLOOKUP(B8,Listas!A$3:C$30,3,0)</f>
        <v>Secretaria Municipal do Trabalho, Empreendedorismo e Inovação</v>
      </c>
      <c r="D8" s="3" t="str">
        <f>VLOOKUP(B8,Listas!A$3:C$30,2,0)</f>
        <v>21101</v>
      </c>
      <c r="E8" s="13" t="s">
        <v>127</v>
      </c>
      <c r="F8" s="3" t="s">
        <v>139</v>
      </c>
      <c r="G8" s="3" t="s">
        <v>139</v>
      </c>
      <c r="H8" s="5" t="s">
        <v>139</v>
      </c>
      <c r="I8" s="5">
        <v>2444873.69</v>
      </c>
      <c r="J8" s="3" t="s">
        <v>139</v>
      </c>
      <c r="K8" s="12" t="s">
        <v>137</v>
      </c>
      <c r="L8" s="3">
        <v>5599</v>
      </c>
      <c r="M8" s="3" t="s">
        <v>135</v>
      </c>
      <c r="N8" s="3" t="s">
        <v>139</v>
      </c>
      <c r="O8" s="3" t="s">
        <v>139</v>
      </c>
      <c r="P8" s="3" t="s">
        <v>139</v>
      </c>
      <c r="Q8" s="3" t="s">
        <v>139</v>
      </c>
    </row>
    <row r="9" spans="1:17" x14ac:dyDescent="0.2">
      <c r="A9" s="15">
        <f t="shared" si="0"/>
        <v>7</v>
      </c>
      <c r="B9" s="3" t="s">
        <v>69</v>
      </c>
      <c r="C9" s="3" t="str">
        <f>VLOOKUP(B9,Listas!A$3:C$30,3,0)</f>
        <v>Secretaria Municipal do Trabalho, Empreendedorismo e Inovação</v>
      </c>
      <c r="D9" s="3" t="str">
        <f>VLOOKUP(B9,Listas!A$3:C$30,2,0)</f>
        <v>21101</v>
      </c>
      <c r="E9" s="13" t="s">
        <v>122</v>
      </c>
      <c r="F9" s="3" t="s">
        <v>139</v>
      </c>
      <c r="G9" s="3" t="s">
        <v>139</v>
      </c>
      <c r="H9" s="5" t="s">
        <v>139</v>
      </c>
      <c r="I9" s="5"/>
      <c r="J9" s="3" t="s">
        <v>139</v>
      </c>
      <c r="K9" s="12" t="s">
        <v>139</v>
      </c>
      <c r="L9" s="3" t="s">
        <v>139</v>
      </c>
      <c r="M9" s="3" t="s">
        <v>139</v>
      </c>
      <c r="N9" s="3" t="s">
        <v>139</v>
      </c>
      <c r="O9" s="3" t="s">
        <v>139</v>
      </c>
      <c r="P9" s="3" t="s">
        <v>139</v>
      </c>
      <c r="Q9" s="3" t="s">
        <v>139</v>
      </c>
    </row>
    <row r="10" spans="1:17" x14ac:dyDescent="0.2">
      <c r="A10" s="15">
        <f t="shared" si="0"/>
        <v>8</v>
      </c>
      <c r="B10" s="3" t="s">
        <v>69</v>
      </c>
      <c r="C10" s="3" t="str">
        <f>VLOOKUP(B10,Listas!A$3:C$30,3,0)</f>
        <v>Secretaria Municipal do Trabalho, Empreendedorismo e Inovação</v>
      </c>
      <c r="D10" s="3" t="str">
        <f>VLOOKUP(B10,Listas!A$3:C$30,2,0)</f>
        <v>21101</v>
      </c>
      <c r="E10" s="13" t="s">
        <v>128</v>
      </c>
      <c r="F10" s="3" t="s">
        <v>139</v>
      </c>
      <c r="G10" s="3" t="s">
        <v>139</v>
      </c>
      <c r="H10" s="5" t="s">
        <v>139</v>
      </c>
      <c r="I10" s="5">
        <v>1200341.6499999999</v>
      </c>
      <c r="J10" s="3" t="s">
        <v>139</v>
      </c>
      <c r="K10" s="12" t="s">
        <v>139</v>
      </c>
      <c r="L10" s="3" t="s">
        <v>139</v>
      </c>
      <c r="M10" s="3" t="s">
        <v>139</v>
      </c>
      <c r="N10" s="3" t="s">
        <v>139</v>
      </c>
      <c r="O10" s="3" t="s">
        <v>139</v>
      </c>
      <c r="P10" s="3" t="s">
        <v>139</v>
      </c>
      <c r="Q10" s="3" t="s">
        <v>139</v>
      </c>
    </row>
    <row r="11" spans="1:17" x14ac:dyDescent="0.2">
      <c r="A11" s="15">
        <f t="shared" si="0"/>
        <v>9</v>
      </c>
      <c r="B11" s="3" t="s">
        <v>69</v>
      </c>
      <c r="C11" s="3" t="str">
        <f>VLOOKUP(B11,Listas!A$3:C$30,3,0)</f>
        <v>Secretaria Municipal do Trabalho, Empreendedorismo e Inovação</v>
      </c>
      <c r="D11" s="3" t="str">
        <f>VLOOKUP(B11,Listas!A$3:C$30,2,0)</f>
        <v>21101</v>
      </c>
      <c r="E11" s="13" t="s">
        <v>129</v>
      </c>
      <c r="F11" s="3" t="s">
        <v>139</v>
      </c>
      <c r="G11" s="3" t="s">
        <v>139</v>
      </c>
      <c r="H11" s="5" t="s">
        <v>139</v>
      </c>
      <c r="I11" s="5">
        <v>7147504.7000000002</v>
      </c>
      <c r="J11" s="3" t="s">
        <v>139</v>
      </c>
      <c r="K11" s="12" t="s">
        <v>139</v>
      </c>
      <c r="L11" s="3" t="s">
        <v>139</v>
      </c>
      <c r="M11" s="3" t="s">
        <v>139</v>
      </c>
      <c r="N11" s="3" t="s">
        <v>139</v>
      </c>
      <c r="O11" s="3" t="s">
        <v>139</v>
      </c>
      <c r="P11" s="3" t="s">
        <v>139</v>
      </c>
      <c r="Q11" s="3" t="s">
        <v>139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G3:G11</xm:sqref>
        </x14:dataValidation>
        <x14:dataValidation type="list" allowBlank="1" showInputMessage="1" showErrorMessage="1">
          <x14:formula1>
            <xm:f>Listas!$D$3:$D$8</xm:f>
          </x14:formula1>
          <xm:sqref>F3:F11</xm:sqref>
        </x14:dataValidation>
        <x14:dataValidation type="list" allowBlank="1" showInputMessage="1" showErrorMessage="1">
          <x14:formula1>
            <xm:f>Listas!$A$3:$A$30</xm:f>
          </x14:formula1>
          <xm:sqref>B3:B11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130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139</v>
      </c>
      <c r="G8" s="6" t="s">
        <v>139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131</v>
      </c>
      <c r="B27" s="6" t="s">
        <v>132</v>
      </c>
      <c r="C27" s="6" t="s">
        <v>133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2026-03-24T16:41:16Z</dcterms:modified>
</cp:coreProperties>
</file>