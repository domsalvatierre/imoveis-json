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4" i="1"/>
  <c r="C10" i="1" l="1"/>
  <c r="D10" i="1"/>
  <c r="D28" i="1" l="1"/>
  <c r="C28" i="1"/>
  <c r="C23" i="1"/>
  <c r="D23" i="1"/>
  <c r="C24" i="1"/>
  <c r="D24" i="1"/>
  <c r="C25" i="1"/>
  <c r="D25" i="1"/>
  <c r="C26" i="1"/>
  <c r="D26" i="1"/>
  <c r="C27" i="1"/>
  <c r="D27" i="1"/>
  <c r="C29" i="1"/>
  <c r="D29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1" i="1"/>
  <c r="D11" i="1"/>
  <c r="C12" i="1"/>
  <c r="D12" i="1"/>
  <c r="C13" i="1"/>
  <c r="D13" i="1"/>
  <c r="C14" i="1"/>
  <c r="D14" i="1"/>
  <c r="C15" i="1"/>
  <c r="D15" i="1"/>
  <c r="C16" i="1" l="1"/>
  <c r="D16" i="1"/>
  <c r="C17" i="1"/>
  <c r="D17" i="1"/>
  <c r="C18" i="1"/>
  <c r="D18" i="1"/>
  <c r="C19" i="1"/>
  <c r="D19" i="1"/>
  <c r="C22" i="1"/>
  <c r="D22" i="1"/>
  <c r="C20" i="1"/>
  <c r="D20" i="1"/>
  <c r="C21" i="1"/>
  <c r="D21" i="1"/>
</calcChain>
</file>

<file path=xl/sharedStrings.xml><?xml version="1.0" encoding="utf-8"?>
<sst xmlns="http://schemas.openxmlformats.org/spreadsheetml/2006/main" count="484" uniqueCount="157">
  <si>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</si>
  <si>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</si>
  <si>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</si>
  <si>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</si>
  <si>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</si>
  <si>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</si>
  <si>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</si>
  <si>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</si>
  <si>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</si>
  <si>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</si>
  <si>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</si>
  <si>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</si>
  <si>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</si>
  <si>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</si>
  <si>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</si>
  <si>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</si>
  <si>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</si>
  <si>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</si>
  <si>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</si>
  <si>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</si>
  <si>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</si>
  <si>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</si>
  <si>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</si>
  <si>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</si>
  <si>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</si>
  <si>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</si>
  <si>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</si>
  <si>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</si>
  <si>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</si>
  <si>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</si>
  <si>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</si>
  <si>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</si>
  <si>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</si>
  <si>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</si>
  <si>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</si>
  <si>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</si>
  <si>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</si>
  <si>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</si>
  <si>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</si>
  <si>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</si>
  <si>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</si>
  <si>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</si>
  <si>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</si>
  <si>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</si>
  <si>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</si>
  <si>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</si>
  <si>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</si>
  <si>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</si>
  <si>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</si>
  <si>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</si>
  <si>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</si>
  <si>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</si>
  <si>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</si>
  <si>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</si>
  <si>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</si>
  <si>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</si>
  <si>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</si>
  <si>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</si>
  <si>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</si>
  <si>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</si>
  <si>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</si>
  <si>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</si>
  <si>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</si>
  <si>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</si>
  <si>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</si>
  <si>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</si>
  <si>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</si>
  <si>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</si>
  <si>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</si>
  <si>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</si>
  <si>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</si>
  <si>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</si>
  <si>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</si>
  <si>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</si>
  <si>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</si>
  <si>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</si>
  <si>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</si>
  <si>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</si>
  <si>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</si>
  <si>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</si>
  <si>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</si>
  <si>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</si>
  <si>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</si>
  <si>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</si>
  <si>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</si>
  <si>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</si>
  <si>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</si>
  <si>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</si>
  <si>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</si>
  <si>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</si>
  <si>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</si>
  <si>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</si>
  <si>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</si>
  <si>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</si>
  <si>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</si>
  <si>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</si>
  <si>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</si>
  <si>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</si>
  <si>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</si>
  <si>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</si>
  <si>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</si>
  <si>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</si>
  <si>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</si>
  <si>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</si>
  <si>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</si>
  <si>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</si>
  <si>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</si>
  <si>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</si>
  <si>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</si>
  <si>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</si>
  <si>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</si>
  <si>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</si>
  <si>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</si>
  <si>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</si>
  <si>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</si>
  <si>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</si>
  <si>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</si>
  <si>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</si>
  <si>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</si>
  <si>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</si>
  <si>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</si>
  <si>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Constantino Nery, 2779 - Chapada - CEP 69.050-001.</t>
  </si>
  <si>
    <t>Av. Coronel Texeira, S/N - Ponta Negra - CEP 69.037-900.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</si>
  <si>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</si>
  <si>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</si>
  <si>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</si>
  <si>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</si>
  <si>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</si>
  <si>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</si>
  <si>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</si>
  <si>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</si>
  <si>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Rua Andorinha, S/N - Cidade de Deus - CEP 69.099-418</t>
  </si>
  <si>
    <t>Av. Rodrigo Otávio, S/Nº - Japiim - CEP 69.077-000</t>
  </si>
  <si>
    <t>Av. Cosme Ferreira, S/Nº - Distrito Industrial II - CEP 69.007-018</t>
  </si>
  <si>
    <t>Margem do Igarapé Tarumã-Açu</t>
  </si>
  <si>
    <t>Margem Esquerda do Rio Negro</t>
  </si>
  <si>
    <t>Margem do Igarapé do Bindá</t>
  </si>
  <si>
    <t>Margem do Igarapé do Gigante</t>
  </si>
  <si>
    <t>Margem do Igarapé do Mindu</t>
  </si>
  <si>
    <t>Av. Coronel Texeira, S/N - Ponta Negra - CEP 69.037-900</t>
  </si>
  <si>
    <t>Margem do Igarapé do Puraquequara</t>
  </si>
  <si>
    <t xml:space="preserve">Av. Maneca Marques, S/Nº - Parque 10 de Novembro - CEP 69.055-021 </t>
  </si>
  <si>
    <t>Engloba as Áreas da UFAM / INPA / ULBRA / LAGOA DO JAPIIM / ELIZA MIRANDA / ACARIQUARA</t>
  </si>
  <si>
    <t>Margem do Igarapé do Tarumã Cachoeira Alta e Cachoeira Baixa</t>
  </si>
  <si>
    <t xml:space="preserve">Rua Laredo, S/N - Cidade Nova - CEP 69.095-654 </t>
  </si>
  <si>
    <t xml:space="preserve">Av. Abraham Benzion, S/N, Loteamento Nascentes das Águas Claras - Novo Aleixo - CEP 69.098-025 </t>
  </si>
  <si>
    <t>Beco Nilo Coutinho, S/N, Conjunto Castelo Branco II - Parque 10 de Novembro - CEP 69.054-503</t>
  </si>
  <si>
    <t>Av. Sete de Setembro, S/N - Centro - CEP 69.005-140</t>
  </si>
  <si>
    <t>Margem Igarapé do Mindu - Colônia Japonesa</t>
  </si>
  <si>
    <t>Rua Jacouari, S/N - Redenção - CEP 69.047-481</t>
  </si>
  <si>
    <t>Av. José Augusto Loureiro, S/N - Ponta Negra - CEP 69.037-225</t>
  </si>
  <si>
    <t>Estrada AM-010, KM 37 - Ramal do Leão</t>
  </si>
  <si>
    <t>Rodovia BR174, KM 15 - Ramal DNER</t>
  </si>
  <si>
    <t>Av. Sócrates Bonfim, S/N - Ponta Negra - CEP 69.037-163</t>
  </si>
  <si>
    <t>Av. Desembargador Anísio Jobim, KM 11 - Colônia Antônio Aleixo - CEP 69.008-450</t>
  </si>
  <si>
    <t>Nº</t>
  </si>
  <si>
    <t>R. Maceió, S/N  - Parque 10 de Novembro - CEP 69.055-037.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</si>
</sst>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zoomScale="115" zoomScaleNormal="115" workbookViewId="0">
      <pane ySplit="2" topLeftCell="A3" activePane="bottomLeft" state="frozen"/>
      <selection pane="bottomLeft" activeCell="C35" sqref="C34:C35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155</v>
      </c>
      <c r="B2" s="14" t="s">
        <v>127</v>
      </c>
      <c r="C2" s="10" t="s">
        <v>38</v>
      </c>
      <c r="D2" s="10" t="s">
        <v>75</v>
      </c>
      <c r="E2" s="10" t="s">
        <v>0</v>
      </c>
      <c r="F2" s="10" t="s">
        <v>130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88</v>
      </c>
      <c r="C3" s="3" t="str">
        <f>VLOOKUP(B3,Listas!A$3:C$30,3,0)</f>
        <v>Secretaria de Meio Ambiente e Sustentabilidade</v>
      </c>
      <c r="D3" s="3" t="str">
        <f>VLOOKUP(B3,Listas!A$3:C$30,2,0)</f>
        <v>28101</v>
      </c>
      <c r="E3" s="13" t="s">
        <v>140</v>
      </c>
      <c r="F3" s="3" t="s">
        <v>129</v>
      </c>
      <c r="G3" s="3" t="s">
        <v>129</v>
      </c>
      <c r="H3" s="5" t="s">
        <v>129</v>
      </c>
      <c r="I3" s="5"/>
      <c r="J3" s="3" t="s">
        <v>129</v>
      </c>
      <c r="K3" s="12" t="s">
        <v>129</v>
      </c>
      <c r="L3" s="3" t="s">
        <v>129</v>
      </c>
      <c r="M3" s="3" t="s">
        <v>129</v>
      </c>
      <c r="N3" s="3" t="s">
        <v>129</v>
      </c>
      <c r="O3" s="3" t="s">
        <v>129</v>
      </c>
      <c r="P3" s="3" t="s">
        <v>129</v>
      </c>
      <c r="Q3" s="3" t="s">
        <v>129</v>
      </c>
    </row>
    <row r="4" spans="1:17" x14ac:dyDescent="0.2">
      <c r="A4" s="15">
        <f>A3+1</f>
        <v>2</v>
      </c>
      <c r="B4" s="3" t="s">
        <v>88</v>
      </c>
      <c r="C4" s="3" t="str">
        <f>VLOOKUP(B4,Listas!A$3:C$30,3,0)</f>
        <v>Secretaria de Meio Ambiente e Sustentabilidade</v>
      </c>
      <c r="D4" s="3" t="str">
        <f>VLOOKUP(B4,Listas!A$3:C$30,2,0)</f>
        <v>28101</v>
      </c>
      <c r="E4" s="13" t="s">
        <v>136</v>
      </c>
      <c r="F4" s="3" t="s">
        <v>129</v>
      </c>
      <c r="G4" s="3" t="s">
        <v>129</v>
      </c>
      <c r="H4" s="5" t="s">
        <v>129</v>
      </c>
      <c r="I4" s="5"/>
      <c r="J4" s="3" t="s">
        <v>129</v>
      </c>
      <c r="K4" s="12" t="s">
        <v>129</v>
      </c>
      <c r="L4" s="3" t="s">
        <v>129</v>
      </c>
      <c r="M4" s="3" t="s">
        <v>129</v>
      </c>
      <c r="N4" s="3" t="s">
        <v>129</v>
      </c>
      <c r="O4" s="3" t="s">
        <v>129</v>
      </c>
      <c r="P4" s="3" t="s">
        <v>129</v>
      </c>
      <c r="Q4" s="3" t="s">
        <v>129</v>
      </c>
    </row>
    <row r="5" spans="1:17" x14ac:dyDescent="0.2">
      <c r="A5" s="15">
        <f t="shared" ref="A5:A29" si="0">A4+1</f>
        <v>3</v>
      </c>
      <c r="B5" s="3" t="s">
        <v>88</v>
      </c>
      <c r="C5" s="3" t="str">
        <f>VLOOKUP(B5,Listas!A$3:C$30,3,0)</f>
        <v>Secretaria de Meio Ambiente e Sustentabilidade</v>
      </c>
      <c r="D5" s="3" t="str">
        <f>VLOOKUP(B5,Listas!A$3:C$30,2,0)</f>
        <v>28101</v>
      </c>
      <c r="E5" s="13" t="s">
        <v>137</v>
      </c>
      <c r="F5" s="3" t="s">
        <v>129</v>
      </c>
      <c r="G5" s="3" t="s">
        <v>129</v>
      </c>
      <c r="H5" s="5" t="s">
        <v>129</v>
      </c>
      <c r="I5" s="5"/>
      <c r="J5" s="3" t="s">
        <v>129</v>
      </c>
      <c r="K5" s="12" t="s">
        <v>129</v>
      </c>
      <c r="L5" s="3" t="s">
        <v>129</v>
      </c>
      <c r="M5" s="3" t="s">
        <v>129</v>
      </c>
      <c r="N5" s="3" t="s">
        <v>129</v>
      </c>
      <c r="O5" s="3" t="s">
        <v>129</v>
      </c>
      <c r="P5" s="3" t="s">
        <v>129</v>
      </c>
      <c r="Q5" s="3" t="s">
        <v>129</v>
      </c>
    </row>
    <row r="6" spans="1:17" x14ac:dyDescent="0.2">
      <c r="A6" s="15">
        <f t="shared" si="0"/>
        <v>4</v>
      </c>
      <c r="B6" s="3" t="s">
        <v>88</v>
      </c>
      <c r="C6" s="3" t="str">
        <f>VLOOKUP(B6,Listas!A$3:C$30,3,0)</f>
        <v>Secretaria de Meio Ambiente e Sustentabilidade</v>
      </c>
      <c r="D6" s="3" t="str">
        <f>VLOOKUP(B6,Listas!A$3:C$30,2,0)</f>
        <v>28101</v>
      </c>
      <c r="E6" s="13" t="s">
        <v>139</v>
      </c>
      <c r="F6" s="3" t="s">
        <v>129</v>
      </c>
      <c r="G6" s="3" t="s">
        <v>129</v>
      </c>
      <c r="H6" s="5" t="s">
        <v>129</v>
      </c>
      <c r="I6" s="5"/>
      <c r="J6" s="3" t="s">
        <v>129</v>
      </c>
      <c r="K6" s="12" t="s">
        <v>129</v>
      </c>
      <c r="L6" s="3" t="s">
        <v>129</v>
      </c>
      <c r="M6" s="3" t="s">
        <v>129</v>
      </c>
      <c r="N6" s="3" t="s">
        <v>129</v>
      </c>
      <c r="O6" s="3" t="s">
        <v>129</v>
      </c>
      <c r="P6" s="3" t="s">
        <v>129</v>
      </c>
      <c r="Q6" s="3" t="s">
        <v>129</v>
      </c>
    </row>
    <row r="7" spans="1:17" x14ac:dyDescent="0.2">
      <c r="A7" s="15">
        <f t="shared" si="0"/>
        <v>5</v>
      </c>
      <c r="B7" s="3" t="s">
        <v>88</v>
      </c>
      <c r="C7" s="3" t="str">
        <f>VLOOKUP(B7,Listas!A$3:C$30,3,0)</f>
        <v>Secretaria de Meio Ambiente e Sustentabilidade</v>
      </c>
      <c r="D7" s="3" t="str">
        <f>VLOOKUP(B7,Listas!A$3:C$30,2,0)</f>
        <v>28101</v>
      </c>
      <c r="E7" s="13" t="s">
        <v>134</v>
      </c>
      <c r="F7" s="3" t="s">
        <v>129</v>
      </c>
      <c r="G7" s="3" t="s">
        <v>129</v>
      </c>
      <c r="H7" s="5" t="s">
        <v>129</v>
      </c>
      <c r="I7" s="5"/>
      <c r="J7" s="3" t="s">
        <v>129</v>
      </c>
      <c r="K7" s="12" t="s">
        <v>129</v>
      </c>
      <c r="L7" s="3" t="s">
        <v>129</v>
      </c>
      <c r="M7" s="3" t="s">
        <v>129</v>
      </c>
      <c r="N7" s="3" t="s">
        <v>129</v>
      </c>
      <c r="O7" s="3" t="s">
        <v>129</v>
      </c>
      <c r="P7" s="3" t="s">
        <v>129</v>
      </c>
      <c r="Q7" s="3" t="s">
        <v>129</v>
      </c>
    </row>
    <row r="8" spans="1:17" x14ac:dyDescent="0.2">
      <c r="A8" s="15">
        <f t="shared" si="0"/>
        <v>6</v>
      </c>
      <c r="B8" s="3" t="s">
        <v>88</v>
      </c>
      <c r="C8" s="3" t="str">
        <f>VLOOKUP(B8,Listas!A$3:C$30,3,0)</f>
        <v>Secretaria de Meio Ambiente e Sustentabilidade</v>
      </c>
      <c r="D8" s="3" t="str">
        <f>VLOOKUP(B8,Listas!A$3:C$30,2,0)</f>
        <v>28101</v>
      </c>
      <c r="E8" s="13" t="s">
        <v>142</v>
      </c>
      <c r="F8" s="3" t="s">
        <v>129</v>
      </c>
      <c r="G8" s="3" t="s">
        <v>129</v>
      </c>
      <c r="H8" s="5" t="s">
        <v>129</v>
      </c>
      <c r="I8" s="5"/>
      <c r="J8" s="3" t="s">
        <v>129</v>
      </c>
      <c r="K8" s="12" t="s">
        <v>129</v>
      </c>
      <c r="L8" s="3" t="s">
        <v>129</v>
      </c>
      <c r="M8" s="3" t="s">
        <v>129</v>
      </c>
      <c r="N8" s="3" t="s">
        <v>129</v>
      </c>
      <c r="O8" s="3" t="s">
        <v>129</v>
      </c>
      <c r="P8" s="3" t="s">
        <v>129</v>
      </c>
      <c r="Q8" s="3" t="s">
        <v>129</v>
      </c>
    </row>
    <row r="9" spans="1:17" x14ac:dyDescent="0.2">
      <c r="A9" s="15">
        <f t="shared" si="0"/>
        <v>7</v>
      </c>
      <c r="B9" s="3" t="s">
        <v>88</v>
      </c>
      <c r="C9" s="3" t="str">
        <f>VLOOKUP(B9,Listas!A$3:C$30,3,0)</f>
        <v>Secretaria de Meio Ambiente e Sustentabilidade</v>
      </c>
      <c r="D9" s="3" t="str">
        <f>VLOOKUP(B9,Listas!A$3:C$30,2,0)</f>
        <v>28101</v>
      </c>
      <c r="E9" s="13" t="s">
        <v>147</v>
      </c>
      <c r="F9" s="3" t="s">
        <v>129</v>
      </c>
      <c r="G9" s="3" t="s">
        <v>129</v>
      </c>
      <c r="H9" s="5" t="s">
        <v>129</v>
      </c>
      <c r="I9" s="5"/>
      <c r="J9" s="3" t="s">
        <v>129</v>
      </c>
      <c r="K9" s="12" t="s">
        <v>129</v>
      </c>
      <c r="L9" s="3" t="s">
        <v>129</v>
      </c>
      <c r="M9" s="3" t="s">
        <v>129</v>
      </c>
      <c r="N9" s="3" t="s">
        <v>129</v>
      </c>
      <c r="O9" s="3" t="s">
        <v>129</v>
      </c>
      <c r="P9" s="3" t="s">
        <v>129</v>
      </c>
      <c r="Q9" s="3" t="s">
        <v>129</v>
      </c>
    </row>
    <row r="10" spans="1:17" x14ac:dyDescent="0.2">
      <c r="A10" s="15">
        <f t="shared" si="0"/>
        <v>8</v>
      </c>
      <c r="B10" s="3" t="s">
        <v>88</v>
      </c>
      <c r="C10" s="3" t="str">
        <f>VLOOKUP(B10,Listas!A$3:C$30,3,0)</f>
        <v>Secretaria de Meio Ambiente e Sustentabilidade</v>
      </c>
      <c r="D10" s="3" t="str">
        <f>VLOOKUP(B10,Listas!A$3:C$30,2,0)</f>
        <v>28101</v>
      </c>
      <c r="E10" s="13" t="s">
        <v>156</v>
      </c>
      <c r="F10" s="3" t="s">
        <v>129</v>
      </c>
      <c r="G10" s="3" t="s">
        <v>129</v>
      </c>
      <c r="H10" s="5" t="s">
        <v>129</v>
      </c>
      <c r="I10" s="5"/>
      <c r="J10" s="3" t="s">
        <v>129</v>
      </c>
      <c r="K10" s="12" t="s">
        <v>129</v>
      </c>
      <c r="L10" s="3" t="s">
        <v>129</v>
      </c>
      <c r="M10" s="3" t="s">
        <v>129</v>
      </c>
      <c r="N10" s="3" t="s">
        <v>129</v>
      </c>
      <c r="O10" s="3" t="s">
        <v>129</v>
      </c>
      <c r="P10" s="3" t="s">
        <v>129</v>
      </c>
      <c r="Q10" s="3" t="s">
        <v>129</v>
      </c>
    </row>
    <row r="11" spans="1:17" x14ac:dyDescent="0.2">
      <c r="A11" s="15">
        <f t="shared" si="0"/>
        <v>9</v>
      </c>
      <c r="B11" s="3" t="s">
        <v>88</v>
      </c>
      <c r="C11" s="3" t="str">
        <f>VLOOKUP(B11,Listas!A$3:C$30,3,0)</f>
        <v>Secretaria de Meio Ambiente e Sustentabilidade</v>
      </c>
      <c r="D11" s="3" t="str">
        <f>VLOOKUP(B11,Listas!A$3:C$30,2,0)</f>
        <v>28101</v>
      </c>
      <c r="E11" s="13" t="s">
        <v>143</v>
      </c>
      <c r="F11" s="3" t="s">
        <v>129</v>
      </c>
      <c r="G11" s="3" t="s">
        <v>129</v>
      </c>
      <c r="H11" s="5" t="s">
        <v>129</v>
      </c>
      <c r="I11" s="5"/>
      <c r="J11" s="3" t="s">
        <v>129</v>
      </c>
      <c r="K11" s="12" t="s">
        <v>129</v>
      </c>
      <c r="L11" s="3" t="s">
        <v>129</v>
      </c>
      <c r="M11" s="3" t="s">
        <v>129</v>
      </c>
      <c r="N11" s="3" t="s">
        <v>129</v>
      </c>
      <c r="O11" s="3" t="s">
        <v>129</v>
      </c>
      <c r="P11" s="3" t="s">
        <v>129</v>
      </c>
      <c r="Q11" s="3" t="s">
        <v>129</v>
      </c>
    </row>
    <row r="12" spans="1:17" x14ac:dyDescent="0.2">
      <c r="A12" s="15">
        <f t="shared" si="0"/>
        <v>10</v>
      </c>
      <c r="B12" s="3" t="s">
        <v>88</v>
      </c>
      <c r="C12" s="3" t="str">
        <f>VLOOKUP(B12,Listas!A$3:C$30,3,0)</f>
        <v>Secretaria de Meio Ambiente e Sustentabilidade</v>
      </c>
      <c r="D12" s="3" t="str">
        <f>VLOOKUP(B12,Listas!A$3:C$30,2,0)</f>
        <v>28101</v>
      </c>
      <c r="E12" s="13" t="s">
        <v>138</v>
      </c>
      <c r="F12" s="3" t="s">
        <v>129</v>
      </c>
      <c r="G12" s="3" t="s">
        <v>129</v>
      </c>
      <c r="H12" s="5" t="s">
        <v>129</v>
      </c>
      <c r="I12" s="5"/>
      <c r="J12" s="3" t="s">
        <v>129</v>
      </c>
      <c r="K12" s="12" t="s">
        <v>129</v>
      </c>
      <c r="L12" s="3" t="s">
        <v>129</v>
      </c>
      <c r="M12" s="3" t="s">
        <v>129</v>
      </c>
      <c r="N12" s="3" t="s">
        <v>129</v>
      </c>
      <c r="O12" s="3" t="s">
        <v>129</v>
      </c>
      <c r="P12" s="3" t="s">
        <v>129</v>
      </c>
      <c r="Q12" s="3" t="s">
        <v>129</v>
      </c>
    </row>
    <row r="13" spans="1:17" x14ac:dyDescent="0.2">
      <c r="A13" s="15">
        <f t="shared" si="0"/>
        <v>11</v>
      </c>
      <c r="B13" s="3" t="s">
        <v>88</v>
      </c>
      <c r="C13" s="3" t="str">
        <f>VLOOKUP(B13,Listas!A$3:C$30,3,0)</f>
        <v>Secretaria de Meio Ambiente e Sustentabilidade</v>
      </c>
      <c r="D13" s="3" t="str">
        <f>VLOOKUP(B13,Listas!A$3:C$30,2,0)</f>
        <v>28101</v>
      </c>
      <c r="E13" s="13" t="s">
        <v>144</v>
      </c>
      <c r="F13" s="3" t="s">
        <v>129</v>
      </c>
      <c r="G13" s="3" t="s">
        <v>129</v>
      </c>
      <c r="H13" s="5" t="s">
        <v>129</v>
      </c>
      <c r="I13" s="5"/>
      <c r="J13" s="3" t="s">
        <v>129</v>
      </c>
      <c r="K13" s="12" t="s">
        <v>129</v>
      </c>
      <c r="L13" s="3" t="s">
        <v>129</v>
      </c>
      <c r="M13" s="3" t="s">
        <v>129</v>
      </c>
      <c r="N13" s="3" t="s">
        <v>129</v>
      </c>
      <c r="O13" s="3" t="s">
        <v>129</v>
      </c>
      <c r="P13" s="3" t="s">
        <v>129</v>
      </c>
      <c r="Q13" s="3" t="s">
        <v>129</v>
      </c>
    </row>
    <row r="14" spans="1:17" x14ac:dyDescent="0.2">
      <c r="A14" s="15">
        <f t="shared" si="0"/>
        <v>12</v>
      </c>
      <c r="B14" s="3" t="s">
        <v>88</v>
      </c>
      <c r="C14" s="3" t="str">
        <f>VLOOKUP(B14,Listas!A$3:C$30,3,0)</f>
        <v>Secretaria de Meio Ambiente e Sustentabilidade</v>
      </c>
      <c r="D14" s="3" t="str">
        <f>VLOOKUP(B14,Listas!A$3:C$30,2,0)</f>
        <v>28101</v>
      </c>
      <c r="E14" s="13" t="s">
        <v>145</v>
      </c>
      <c r="F14" s="3" t="s">
        <v>129</v>
      </c>
      <c r="G14" s="3" t="s">
        <v>129</v>
      </c>
      <c r="H14" s="5" t="s">
        <v>129</v>
      </c>
      <c r="I14" s="5"/>
      <c r="J14" s="3" t="s">
        <v>129</v>
      </c>
      <c r="K14" s="12" t="s">
        <v>129</v>
      </c>
      <c r="L14" s="3" t="s">
        <v>129</v>
      </c>
      <c r="M14" s="3" t="s">
        <v>129</v>
      </c>
      <c r="N14" s="3" t="s">
        <v>129</v>
      </c>
      <c r="O14" s="3" t="s">
        <v>129</v>
      </c>
      <c r="P14" s="3" t="s">
        <v>129</v>
      </c>
      <c r="Q14" s="3" t="s">
        <v>129</v>
      </c>
    </row>
    <row r="15" spans="1:17" x14ac:dyDescent="0.2">
      <c r="A15" s="15">
        <f t="shared" si="0"/>
        <v>13</v>
      </c>
      <c r="B15" s="3" t="s">
        <v>88</v>
      </c>
      <c r="C15" s="3" t="str">
        <f>VLOOKUP(B15,Listas!A$3:C$30,3,0)</f>
        <v>Secretaria de Meio Ambiente e Sustentabilidade</v>
      </c>
      <c r="D15" s="3" t="str">
        <f>VLOOKUP(B15,Listas!A$3:C$30,2,0)</f>
        <v>28101</v>
      </c>
      <c r="E15" s="13" t="s">
        <v>146</v>
      </c>
      <c r="F15" s="3" t="s">
        <v>129</v>
      </c>
      <c r="G15" s="3" t="s">
        <v>129</v>
      </c>
      <c r="H15" s="5" t="s">
        <v>129</v>
      </c>
      <c r="I15" s="5"/>
      <c r="J15" s="3" t="s">
        <v>129</v>
      </c>
      <c r="K15" s="12" t="s">
        <v>129</v>
      </c>
      <c r="L15" s="3" t="s">
        <v>129</v>
      </c>
      <c r="M15" s="3" t="s">
        <v>129</v>
      </c>
      <c r="N15" s="3" t="s">
        <v>129</v>
      </c>
      <c r="O15" s="3" t="s">
        <v>129</v>
      </c>
      <c r="P15" s="3" t="s">
        <v>129</v>
      </c>
      <c r="Q15" s="3" t="s">
        <v>129</v>
      </c>
    </row>
    <row r="16" spans="1:17" x14ac:dyDescent="0.2">
      <c r="A16" s="15">
        <f t="shared" si="0"/>
        <v>14</v>
      </c>
      <c r="B16" s="3" t="s">
        <v>88</v>
      </c>
      <c r="C16" s="3" t="str">
        <f>VLOOKUP(B16,Listas!A$3:C$30,3,0)</f>
        <v>Secretaria de Meio Ambiente e Sustentabilidade</v>
      </c>
      <c r="D16" s="3" t="str">
        <f>VLOOKUP(B16,Listas!A$3:C$30,2,0)</f>
        <v>28101</v>
      </c>
      <c r="E16" s="13" t="s">
        <v>131</v>
      </c>
      <c r="F16" s="3" t="s">
        <v>129</v>
      </c>
      <c r="G16" s="3" t="s">
        <v>129</v>
      </c>
      <c r="H16" s="5" t="s">
        <v>129</v>
      </c>
      <c r="I16" s="5"/>
      <c r="J16" s="3" t="s">
        <v>129</v>
      </c>
      <c r="K16" s="12" t="s">
        <v>129</v>
      </c>
      <c r="L16" s="3" t="s">
        <v>129</v>
      </c>
      <c r="M16" s="3" t="s">
        <v>129</v>
      </c>
      <c r="N16" s="3" t="s">
        <v>129</v>
      </c>
      <c r="O16" s="3" t="s">
        <v>129</v>
      </c>
      <c r="P16" s="3" t="s">
        <v>129</v>
      </c>
      <c r="Q16" s="3" t="s">
        <v>129</v>
      </c>
    </row>
    <row r="17" spans="1:17" x14ac:dyDescent="0.2">
      <c r="A17" s="15">
        <f t="shared" si="0"/>
        <v>15</v>
      </c>
      <c r="B17" s="3" t="s">
        <v>88</v>
      </c>
      <c r="C17" s="3" t="str">
        <f>VLOOKUP(B17,Listas!A$3:C$30,3,0)</f>
        <v>Secretaria de Meio Ambiente e Sustentabilidade</v>
      </c>
      <c r="D17" s="3" t="str">
        <f>VLOOKUP(B17,Listas!A$3:C$30,2,0)</f>
        <v>28101</v>
      </c>
      <c r="E17" s="13" t="s">
        <v>141</v>
      </c>
      <c r="F17" s="3" t="s">
        <v>129</v>
      </c>
      <c r="G17" s="3" t="s">
        <v>129</v>
      </c>
      <c r="H17" s="5" t="s">
        <v>129</v>
      </c>
      <c r="I17" s="5"/>
      <c r="J17" s="3" t="s">
        <v>129</v>
      </c>
      <c r="K17" s="12" t="s">
        <v>129</v>
      </c>
      <c r="L17" s="3" t="s">
        <v>129</v>
      </c>
      <c r="M17" s="3" t="s">
        <v>129</v>
      </c>
      <c r="N17" s="3" t="s">
        <v>129</v>
      </c>
      <c r="O17" s="3" t="s">
        <v>129</v>
      </c>
      <c r="P17" s="3" t="s">
        <v>129</v>
      </c>
      <c r="Q17" s="3" t="s">
        <v>129</v>
      </c>
    </row>
    <row r="18" spans="1:17" x14ac:dyDescent="0.2">
      <c r="A18" s="15">
        <f t="shared" si="0"/>
        <v>16</v>
      </c>
      <c r="B18" s="3" t="s">
        <v>88</v>
      </c>
      <c r="C18" s="3" t="str">
        <f>VLOOKUP(B18,Listas!A$3:C$30,3,0)</f>
        <v>Secretaria de Meio Ambiente e Sustentabilidade</v>
      </c>
      <c r="D18" s="3" t="str">
        <f>VLOOKUP(B18,Listas!A$3:C$30,2,0)</f>
        <v>28101</v>
      </c>
      <c r="E18" s="13" t="s">
        <v>132</v>
      </c>
      <c r="F18" s="3" t="s">
        <v>129</v>
      </c>
      <c r="G18" s="3" t="s">
        <v>129</v>
      </c>
      <c r="H18" s="5" t="s">
        <v>129</v>
      </c>
      <c r="I18" s="5"/>
      <c r="J18" s="3" t="s">
        <v>129</v>
      </c>
      <c r="K18" s="12" t="s">
        <v>129</v>
      </c>
      <c r="L18" s="3" t="s">
        <v>129</v>
      </c>
      <c r="M18" s="3" t="s">
        <v>129</v>
      </c>
      <c r="N18" s="3" t="s">
        <v>129</v>
      </c>
      <c r="O18" s="3" t="s">
        <v>129</v>
      </c>
      <c r="P18" s="3" t="s">
        <v>129</v>
      </c>
      <c r="Q18" s="3" t="s">
        <v>129</v>
      </c>
    </row>
    <row r="19" spans="1:17" x14ac:dyDescent="0.2">
      <c r="A19" s="15">
        <f t="shared" si="0"/>
        <v>17</v>
      </c>
      <c r="B19" s="3" t="s">
        <v>88</v>
      </c>
      <c r="C19" s="3" t="str">
        <f>VLOOKUP(B19,Listas!A$3:C$30,3,0)</f>
        <v>Secretaria de Meio Ambiente e Sustentabilidade</v>
      </c>
      <c r="D19" s="3" t="str">
        <f>VLOOKUP(B19,Listas!A$3:C$30,2,0)</f>
        <v>28101</v>
      </c>
      <c r="E19" s="13" t="s">
        <v>133</v>
      </c>
      <c r="F19" s="3" t="s">
        <v>129</v>
      </c>
      <c r="G19" s="3" t="s">
        <v>129</v>
      </c>
      <c r="H19" s="5" t="s">
        <v>129</v>
      </c>
      <c r="I19" s="5"/>
      <c r="J19" s="3" t="s">
        <v>129</v>
      </c>
      <c r="K19" s="12" t="s">
        <v>129</v>
      </c>
      <c r="L19" s="3" t="s">
        <v>129</v>
      </c>
      <c r="M19" s="3" t="s">
        <v>129</v>
      </c>
      <c r="N19" s="3" t="s">
        <v>129</v>
      </c>
      <c r="O19" s="3" t="s">
        <v>129</v>
      </c>
      <c r="P19" s="3" t="s">
        <v>129</v>
      </c>
      <c r="Q19" s="3" t="s">
        <v>129</v>
      </c>
    </row>
    <row r="20" spans="1:17" x14ac:dyDescent="0.2">
      <c r="A20" s="15">
        <f t="shared" si="0"/>
        <v>18</v>
      </c>
      <c r="B20" s="3" t="s">
        <v>88</v>
      </c>
      <c r="C20" s="3" t="str">
        <f>VLOOKUP(B20,Listas!A$3:C$30,3,0)</f>
        <v>Secretaria de Meio Ambiente e Sustentabilidade</v>
      </c>
      <c r="D20" s="3" t="str">
        <f>VLOOKUP(B20,Listas!A$3:C$30,2,0)</f>
        <v>28101</v>
      </c>
      <c r="E20" s="13" t="s">
        <v>121</v>
      </c>
      <c r="F20" s="3" t="s">
        <v>129</v>
      </c>
      <c r="G20" s="3" t="s">
        <v>129</v>
      </c>
      <c r="H20" s="5" t="s">
        <v>129</v>
      </c>
      <c r="I20" s="5">
        <v>561087.66</v>
      </c>
      <c r="J20" s="3" t="s">
        <v>129</v>
      </c>
      <c r="K20" s="12" t="s">
        <v>129</v>
      </c>
      <c r="L20" s="3" t="s">
        <v>129</v>
      </c>
      <c r="M20" s="3" t="s">
        <v>129</v>
      </c>
      <c r="N20" s="3" t="s">
        <v>129</v>
      </c>
      <c r="O20" s="3" t="s">
        <v>129</v>
      </c>
      <c r="P20" s="3" t="s">
        <v>129</v>
      </c>
      <c r="Q20" s="3" t="s">
        <v>129</v>
      </c>
    </row>
    <row r="21" spans="1:17" x14ac:dyDescent="0.2">
      <c r="A21" s="15">
        <f t="shared" si="0"/>
        <v>19</v>
      </c>
      <c r="B21" s="3" t="s">
        <v>88</v>
      </c>
      <c r="C21" s="3" t="str">
        <f>VLOOKUP(B21,Listas!A$3:C$30,3,0)</f>
        <v>Secretaria de Meio Ambiente e Sustentabilidade</v>
      </c>
      <c r="D21" s="3" t="str">
        <f>VLOOKUP(B21,Listas!A$3:C$30,2,0)</f>
        <v>28101</v>
      </c>
      <c r="E21" s="13" t="s">
        <v>122</v>
      </c>
      <c r="F21" s="3" t="s">
        <v>129</v>
      </c>
      <c r="G21" s="3" t="s">
        <v>129</v>
      </c>
      <c r="H21" s="5" t="s">
        <v>129</v>
      </c>
      <c r="I21" s="5">
        <v>3746582.45</v>
      </c>
      <c r="J21" s="3" t="s">
        <v>129</v>
      </c>
      <c r="K21" s="12" t="s">
        <v>129</v>
      </c>
      <c r="L21" s="3" t="s">
        <v>129</v>
      </c>
      <c r="M21" s="3" t="s">
        <v>129</v>
      </c>
      <c r="N21" s="3" t="s">
        <v>129</v>
      </c>
      <c r="O21" s="3" t="s">
        <v>129</v>
      </c>
      <c r="P21" s="3" t="s">
        <v>129</v>
      </c>
      <c r="Q21" s="3" t="s">
        <v>129</v>
      </c>
    </row>
    <row r="22" spans="1:17" x14ac:dyDescent="0.2">
      <c r="A22" s="15">
        <f t="shared" si="0"/>
        <v>20</v>
      </c>
      <c r="B22" s="3" t="s">
        <v>88</v>
      </c>
      <c r="C22" s="3" t="str">
        <f>VLOOKUP(B22,Listas!A$3:C$30,3,0)</f>
        <v>Secretaria de Meio Ambiente e Sustentabilidade</v>
      </c>
      <c r="D22" s="3" t="str">
        <f>VLOOKUP(B22,Listas!A$3:C$30,2,0)</f>
        <v>28101</v>
      </c>
      <c r="E22" s="13" t="s">
        <v>135</v>
      </c>
      <c r="F22" s="3" t="s">
        <v>129</v>
      </c>
      <c r="G22" s="3" t="s">
        <v>129</v>
      </c>
      <c r="H22" s="5" t="s">
        <v>129</v>
      </c>
      <c r="I22" s="5"/>
      <c r="J22" s="3" t="s">
        <v>129</v>
      </c>
      <c r="K22" s="12" t="s">
        <v>129</v>
      </c>
      <c r="L22" s="3" t="s">
        <v>129</v>
      </c>
      <c r="M22" s="3" t="s">
        <v>129</v>
      </c>
      <c r="N22" s="3" t="s">
        <v>129</v>
      </c>
      <c r="O22" s="3" t="s">
        <v>129</v>
      </c>
      <c r="P22" s="3" t="s">
        <v>129</v>
      </c>
      <c r="Q22" s="3" t="s">
        <v>129</v>
      </c>
    </row>
    <row r="23" spans="1:17" x14ac:dyDescent="0.2">
      <c r="A23" s="15">
        <f t="shared" si="0"/>
        <v>21</v>
      </c>
      <c r="B23" s="3" t="s">
        <v>88</v>
      </c>
      <c r="C23" s="3" t="str">
        <f>VLOOKUP(B23,Listas!A$3:C$30,3,0)</f>
        <v>Secretaria de Meio Ambiente e Sustentabilidade</v>
      </c>
      <c r="D23" s="3" t="str">
        <f>VLOOKUP(B23,Listas!A$3:C$30,2,0)</f>
        <v>28101</v>
      </c>
      <c r="E23" s="13" t="s">
        <v>148</v>
      </c>
      <c r="F23" s="3" t="s">
        <v>129</v>
      </c>
      <c r="G23" s="3" t="s">
        <v>129</v>
      </c>
      <c r="H23" s="5" t="s">
        <v>129</v>
      </c>
      <c r="I23" s="5"/>
      <c r="J23" s="3" t="s">
        <v>129</v>
      </c>
      <c r="K23" s="12" t="s">
        <v>129</v>
      </c>
      <c r="L23" s="3" t="s">
        <v>129</v>
      </c>
      <c r="M23" s="3" t="s">
        <v>129</v>
      </c>
      <c r="N23" s="3" t="s">
        <v>129</v>
      </c>
      <c r="O23" s="3" t="s">
        <v>129</v>
      </c>
      <c r="P23" s="3" t="s">
        <v>129</v>
      </c>
      <c r="Q23" s="3" t="s">
        <v>129</v>
      </c>
    </row>
    <row r="24" spans="1:17" x14ac:dyDescent="0.2">
      <c r="A24" s="15">
        <f t="shared" si="0"/>
        <v>22</v>
      </c>
      <c r="B24" s="3" t="s">
        <v>88</v>
      </c>
      <c r="C24" s="3" t="str">
        <f>VLOOKUP(B24,Listas!A$3:C$30,3,0)</f>
        <v>Secretaria de Meio Ambiente e Sustentabilidade</v>
      </c>
      <c r="D24" s="3" t="str">
        <f>VLOOKUP(B24,Listas!A$3:C$30,2,0)</f>
        <v>28101</v>
      </c>
      <c r="E24" s="13" t="s">
        <v>149</v>
      </c>
      <c r="F24" s="3" t="s">
        <v>129</v>
      </c>
      <c r="G24" s="3" t="s">
        <v>129</v>
      </c>
      <c r="H24" s="5" t="s">
        <v>129</v>
      </c>
      <c r="I24" s="5"/>
      <c r="J24" s="3" t="s">
        <v>129</v>
      </c>
      <c r="K24" s="12" t="s">
        <v>129</v>
      </c>
      <c r="L24" s="3" t="s">
        <v>129</v>
      </c>
      <c r="M24" s="3" t="s">
        <v>129</v>
      </c>
      <c r="N24" s="3" t="s">
        <v>129</v>
      </c>
      <c r="O24" s="3" t="s">
        <v>129</v>
      </c>
      <c r="P24" s="3" t="s">
        <v>129</v>
      </c>
      <c r="Q24" s="3" t="s">
        <v>129</v>
      </c>
    </row>
    <row r="25" spans="1:17" x14ac:dyDescent="0.2">
      <c r="A25" s="15">
        <f t="shared" si="0"/>
        <v>23</v>
      </c>
      <c r="B25" s="3" t="s">
        <v>88</v>
      </c>
      <c r="C25" s="3" t="str">
        <f>VLOOKUP(B25,Listas!A$3:C$30,3,0)</f>
        <v>Secretaria de Meio Ambiente e Sustentabilidade</v>
      </c>
      <c r="D25" s="3" t="str">
        <f>VLOOKUP(B25,Listas!A$3:C$30,2,0)</f>
        <v>28101</v>
      </c>
      <c r="E25" s="13" t="s">
        <v>150</v>
      </c>
      <c r="F25" s="3" t="s">
        <v>129</v>
      </c>
      <c r="G25" s="3" t="s">
        <v>129</v>
      </c>
      <c r="H25" s="5" t="s">
        <v>129</v>
      </c>
      <c r="I25" s="5"/>
      <c r="J25" s="3" t="s">
        <v>129</v>
      </c>
      <c r="K25" s="12" t="s">
        <v>129</v>
      </c>
      <c r="L25" s="3" t="s">
        <v>129</v>
      </c>
      <c r="M25" s="3" t="s">
        <v>129</v>
      </c>
      <c r="N25" s="3" t="s">
        <v>129</v>
      </c>
      <c r="O25" s="3" t="s">
        <v>129</v>
      </c>
      <c r="P25" s="3" t="s">
        <v>129</v>
      </c>
      <c r="Q25" s="3" t="s">
        <v>129</v>
      </c>
    </row>
    <row r="26" spans="1:17" x14ac:dyDescent="0.2">
      <c r="A26" s="15">
        <f t="shared" si="0"/>
        <v>24</v>
      </c>
      <c r="B26" s="3" t="s">
        <v>88</v>
      </c>
      <c r="C26" s="3" t="str">
        <f>VLOOKUP(B26,Listas!A$3:C$30,3,0)</f>
        <v>Secretaria de Meio Ambiente e Sustentabilidade</v>
      </c>
      <c r="D26" s="3" t="str">
        <f>VLOOKUP(B26,Listas!A$3:C$30,2,0)</f>
        <v>28101</v>
      </c>
      <c r="E26" s="13" t="s">
        <v>151</v>
      </c>
      <c r="F26" s="3" t="s">
        <v>129</v>
      </c>
      <c r="G26" s="3" t="s">
        <v>129</v>
      </c>
      <c r="H26" s="5" t="s">
        <v>129</v>
      </c>
      <c r="I26" s="5"/>
      <c r="J26" s="3" t="s">
        <v>129</v>
      </c>
      <c r="K26" s="12" t="s">
        <v>129</v>
      </c>
      <c r="L26" s="3" t="s">
        <v>129</v>
      </c>
      <c r="M26" s="3" t="s">
        <v>129</v>
      </c>
      <c r="N26" s="3" t="s">
        <v>129</v>
      </c>
      <c r="O26" s="3" t="s">
        <v>129</v>
      </c>
      <c r="P26" s="3" t="s">
        <v>129</v>
      </c>
      <c r="Q26" s="3" t="s">
        <v>129</v>
      </c>
    </row>
    <row r="27" spans="1:17" x14ac:dyDescent="0.2">
      <c r="A27" s="15">
        <f t="shared" si="0"/>
        <v>25</v>
      </c>
      <c r="B27" s="3" t="s">
        <v>88</v>
      </c>
      <c r="C27" s="3" t="str">
        <f>VLOOKUP(B27,Listas!A$3:C$30,3,0)</f>
        <v>Secretaria de Meio Ambiente e Sustentabilidade</v>
      </c>
      <c r="D27" s="3" t="str">
        <f>VLOOKUP(B27,Listas!A$3:C$30,2,0)</f>
        <v>28101</v>
      </c>
      <c r="E27" s="13" t="s">
        <v>152</v>
      </c>
      <c r="F27" s="3" t="s">
        <v>129</v>
      </c>
      <c r="G27" s="3" t="s">
        <v>129</v>
      </c>
      <c r="H27" s="5" t="s">
        <v>129</v>
      </c>
      <c r="I27" s="5"/>
      <c r="J27" s="3" t="s">
        <v>129</v>
      </c>
      <c r="K27" s="12" t="s">
        <v>129</v>
      </c>
      <c r="L27" s="3" t="s">
        <v>129</v>
      </c>
      <c r="M27" s="3" t="s">
        <v>129</v>
      </c>
      <c r="N27" s="3" t="s">
        <v>129</v>
      </c>
      <c r="O27" s="3" t="s">
        <v>129</v>
      </c>
      <c r="P27" s="3" t="s">
        <v>129</v>
      </c>
      <c r="Q27" s="3" t="s">
        <v>129</v>
      </c>
    </row>
    <row r="28" spans="1:17" x14ac:dyDescent="0.2">
      <c r="A28" s="15">
        <f t="shared" si="0"/>
        <v>26</v>
      </c>
      <c r="B28" s="3" t="s">
        <v>88</v>
      </c>
      <c r="C28" s="3" t="str">
        <f>VLOOKUP(B28,Listas!A$3:C$30,3,0)</f>
        <v>Secretaria de Meio Ambiente e Sustentabilidade</v>
      </c>
      <c r="D28" s="3" t="str">
        <f>VLOOKUP(B28,Listas!A$3:C$30,2,0)</f>
        <v>28101</v>
      </c>
      <c r="E28" s="13" t="s">
        <v>153</v>
      </c>
      <c r="F28" s="3" t="s">
        <v>129</v>
      </c>
      <c r="G28" s="3" t="s">
        <v>129</v>
      </c>
      <c r="H28" s="5" t="s">
        <v>129</v>
      </c>
      <c r="I28" s="5"/>
      <c r="J28" s="3" t="s">
        <v>129</v>
      </c>
      <c r="K28" s="12" t="s">
        <v>129</v>
      </c>
      <c r="L28" s="3" t="s">
        <v>129</v>
      </c>
      <c r="M28" s="3" t="s">
        <v>129</v>
      </c>
      <c r="N28" s="3" t="s">
        <v>129</v>
      </c>
      <c r="O28" s="3" t="s">
        <v>129</v>
      </c>
      <c r="P28" s="3" t="s">
        <v>129</v>
      </c>
      <c r="Q28" s="3" t="s">
        <v>129</v>
      </c>
    </row>
    <row r="29" spans="1:17" x14ac:dyDescent="0.2">
      <c r="A29" s="15">
        <f t="shared" si="0"/>
        <v>27</v>
      </c>
      <c r="B29" s="3" t="s">
        <v>88</v>
      </c>
      <c r="C29" s="3" t="str">
        <f>VLOOKUP(B29,Listas!A$3:C$30,3,0)</f>
        <v>Secretaria de Meio Ambiente e Sustentabilidade</v>
      </c>
      <c r="D29" s="3" t="str">
        <f>VLOOKUP(B29,Listas!A$3:C$30,2,0)</f>
        <v>28101</v>
      </c>
      <c r="E29" s="13" t="s">
        <v>154</v>
      </c>
      <c r="F29" s="3" t="s">
        <v>129</v>
      </c>
      <c r="G29" s="3" t="s">
        <v>129</v>
      </c>
      <c r="H29" s="5" t="s">
        <v>129</v>
      </c>
      <c r="I29" s="5"/>
      <c r="J29" s="3" t="s">
        <v>129</v>
      </c>
      <c r="K29" s="12" t="s">
        <v>129</v>
      </c>
      <c r="L29" s="3" t="s">
        <v>129</v>
      </c>
      <c r="M29" s="3" t="s">
        <v>129</v>
      </c>
      <c r="N29" s="3" t="s">
        <v>129</v>
      </c>
      <c r="O29" s="3" t="s">
        <v>129</v>
      </c>
      <c r="P29" s="3" t="s">
        <v>129</v>
      </c>
      <c r="Q29" s="3" t="s">
        <v>129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G3:G29</xm:sqref>
        </x14:dataValidation>
        <x14:dataValidation type="list" allowBlank="1" showInputMessage="1" showErrorMessage="1">
          <x14:formula1>
            <xm:f>Listas!$D$3:$D$8</xm:f>
          </x14:formula1>
          <xm:sqref>F3:F29</xm:sqref>
        </x14:dataValidation>
        <x14:dataValidation type="list" allowBlank="1" showInputMessage="1" showErrorMessage="1">
          <x14:formula1>
            <xm:f>Listas!$A$3:$A$30</xm:f>
          </x14:formula1>
          <xm:sqref>B3:B29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123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129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129</v>
      </c>
      <c r="G8" s="6" t="s">
        <v>129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124</v>
      </c>
      <c r="B27" s="6" t="s">
        <v>125</v>
      </c>
      <c r="C27" s="6" t="s">
        <v>126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2026-03-24T16:36:04Z</dcterms:modified>
</cp:coreProperties>
</file>