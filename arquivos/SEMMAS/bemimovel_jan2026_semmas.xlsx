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B11" i="1" l="1"/>
  <c r="B29" i="1" l="1"/>
  <c r="B24" i="1"/>
  <c r="B25" i="1"/>
  <c r="B26" i="1"/>
  <c r="B27" i="1"/>
  <c r="B28" i="1"/>
  <c r="B30" i="1"/>
  <c r="I4" i="1"/>
  <c r="I5" i="1"/>
  <c r="I6" i="1"/>
  <c r="I7" i="1"/>
  <c r="I8" i="1"/>
  <c r="I9" i="1"/>
  <c r="I10" i="1"/>
  <c r="I12" i="1"/>
  <c r="I13" i="1"/>
  <c r="I14" i="1"/>
  <c r="I15" i="1"/>
  <c r="I16" i="1"/>
  <c r="B4" i="1" l="1"/>
  <c r="B5" i="1"/>
  <c r="B6" i="1"/>
  <c r="B7" i="1"/>
  <c r="B8" i="1"/>
  <c r="B9" i="1"/>
  <c r="B10" i="1"/>
  <c r="B12" i="1"/>
  <c r="B13" i="1"/>
  <c r="B14" i="1"/>
  <c r="B15" i="1"/>
  <c r="B16" i="1"/>
  <c r="B17" i="1" l="1"/>
  <c r="I17" i="1"/>
  <c r="B18" i="1"/>
  <c r="I18" i="1"/>
  <c r="B19" i="1"/>
  <c r="I19" i="1"/>
  <c r="B20" i="1"/>
  <c r="I20" i="1"/>
  <c r="B23" i="1"/>
  <c r="I23" i="1"/>
  <c r="B21" i="1"/>
  <c r="I21" i="1"/>
  <c r="B22" i="1"/>
  <c r="I22" i="1"/>
</calcChain>
</file>

<file path=xl/sharedStrings.xml><?xml version="1.0" encoding="utf-8"?>
<sst xmlns="http://schemas.openxmlformats.org/spreadsheetml/2006/main" count="590" uniqueCount="214">
  <si>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</si>
  <si>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</si>
  <si>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</si>
  <si>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</si>
  <si>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</si>
  <si>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</si>
  <si>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</si>
  <si>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</si>
  <si>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</si>
  <si>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</si>
  <si>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</si>
  <si>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</si>
  <si>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</si>
  <si>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</si>
  <si>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</si>
  <si>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</si>
  <si>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</si>
  <si>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</si>
  <si>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</si>
  <si>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</si>
  <si>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</si>
  <si>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</si>
  <si>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</si>
  <si>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</si>
  <si>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</si>
  <si>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</si>
  <si>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</si>
  <si>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</si>
  <si>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</si>
  <si>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</si>
  <si>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</si>
  <si>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</si>
  <si>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</si>
  <si>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</si>
  <si>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</si>
  <si>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</si>
  <si>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</si>
  <si>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</si>
  <si>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</si>
  <si>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</si>
  <si>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</si>
  <si>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</si>
  <si>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</si>
  <si>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</si>
  <si>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</si>
  <si>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</si>
  <si>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</si>
  <si>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</si>
  <si>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</si>
  <si>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</si>
  <si>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</si>
  <si>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</si>
  <si>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</si>
  <si>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</si>
  <si>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</si>
  <si>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</si>
  <si>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</si>
  <si>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</si>
  <si>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</si>
  <si>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</si>
  <si>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</si>
  <si>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</si>
  <si>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</si>
  <si>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</si>
  <si>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</si>
  <si>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</si>
  <si>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</si>
  <si>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</si>
  <si>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</si>
  <si>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</si>
  <si>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</si>
  <si>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</si>
  <si>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</si>
  <si>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</si>
  <si>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</si>
  <si>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</si>
  <si>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</si>
  <si>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</si>
  <si>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</si>
  <si>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</si>
  <si>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</si>
  <si>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</si>
  <si>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</si>
  <si>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</si>
  <si>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</si>
  <si>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</si>
  <si>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</si>
  <si>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</si>
  <si>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</si>
  <si>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</si>
  <si>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</si>
  <si>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</si>
  <si>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</si>
  <si>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</si>
  <si>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</si>
  <si>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</si>
  <si>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</si>
  <si>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</si>
  <si>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</si>
  <si>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</si>
  <si>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</si>
  <si>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</si>
  <si>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</si>
  <si>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</si>
  <si>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</si>
  <si>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</si>
  <si>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</si>
  <si>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</si>
  <si>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</si>
  <si>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</si>
  <si>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</si>
  <si>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</si>
  <si>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</si>
  <si>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</si>
  <si>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</si>
  <si>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</si>
  <si>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</si>
  <si>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</si>
  <si>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</si>
  <si>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</si>
  <si>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</si>
  <si>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</si>
  <si>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OESTE</t>
  </si>
  <si>
    <t>NORTE</t>
  </si>
  <si>
    <t>SUL</t>
  </si>
  <si>
    <t>CENTRO-SUL</t>
  </si>
  <si>
    <t>CENTRO-OESTE</t>
  </si>
  <si>
    <t>LESTE</t>
  </si>
  <si>
    <t>RURAL</t>
  </si>
  <si>
    <t>3º OFÍCIO</t>
  </si>
  <si>
    <t>2º OFÍCIO</t>
  </si>
  <si>
    <t>ATIVO</t>
  </si>
  <si>
    <t>SEMSA</t>
  </si>
  <si>
    <t>23000</t>
  </si>
  <si>
    <t>Secretaria Municipal de Saúde</t>
  </si>
  <si>
    <t>Área de Proteção Ambiental (APA) Parque Linear do Bindá</t>
  </si>
  <si>
    <t>Área de Proteção Ambiental (APA) Parque Linear do Igarapé do Gigante</t>
  </si>
  <si>
    <t>Área de Proteção Ambiental (APA) Parque Ponta Negra</t>
  </si>
  <si>
    <t>Área de Proteção Ambiental (APA) Tarumã - Ponta Negra</t>
  </si>
  <si>
    <t>Base Fluvial Rio Negro</t>
  </si>
  <si>
    <t>Corredor Ecològico Urbano das Cachoeiras do Tarumã</t>
  </si>
  <si>
    <t>Corredor Ecológico Urbano do Igarapé do Mindu</t>
  </si>
  <si>
    <t>Parque da Juventude Campo Dourado</t>
  </si>
  <si>
    <t>Parque da Juventude Nascentes das Águas Claras I e II</t>
  </si>
  <si>
    <t>Parque da Juventude Titio Barbosa</t>
  </si>
  <si>
    <t>Parque Municipal das Nascentes do Mindu</t>
  </si>
  <si>
    <t>Parque Municipal do Mindu</t>
  </si>
  <si>
    <t>Parque Municipal Lagoa Senador Arthur Virgílio Filho (Lagoa do Japiim)</t>
  </si>
  <si>
    <t>Reserva de Desenvolvimento Sustentável (RDS) do Tupé</t>
  </si>
  <si>
    <t xml:space="preserve">Parque Municipal Ponte do Bilhares e Base da Guarda Municipal </t>
  </si>
  <si>
    <t xml:space="preserve">Parque Ponta Negra - Calçadão da Ponta Negra   </t>
  </si>
  <si>
    <t>SIGLA UG</t>
  </si>
  <si>
    <t>Em ajuste</t>
  </si>
  <si>
    <t>TIPO DE EDIFICAÇÃO</t>
  </si>
  <si>
    <t>Parque Municipal Sauim Castanheiras (Refúgio da Vida Silvestre)</t>
  </si>
  <si>
    <t>Rua Andorinha, S/N - Cidade de Deus - CEP 69.099-418</t>
  </si>
  <si>
    <t>Av. Rodrigo Otávio, S/Nº - Japiim - CEP 69.077-000</t>
  </si>
  <si>
    <t>Av. Cosme Ferreira, S/Nº - Distrito Industrial II - CEP 69.007-018</t>
  </si>
  <si>
    <t>Margem do Igarapé Tarumã-Açu</t>
  </si>
  <si>
    <t>Margem Esquerda do Rio Negro</t>
  </si>
  <si>
    <t>Margem do Igarapé do Bindá</t>
  </si>
  <si>
    <t>Margem do Igarapé do Gigante</t>
  </si>
  <si>
    <t>Margem do Igarapé do Mindu</t>
  </si>
  <si>
    <t>Av. Coronel Texeira, S/N - Ponta Negra - CEP 69.037-900</t>
  </si>
  <si>
    <t>Margem do Igarapé do Puraquequara</t>
  </si>
  <si>
    <t xml:space="preserve">Área de Proteção Ambiental (APA) Floresta Manaós </t>
  </si>
  <si>
    <t>Engloba as Áreas da UFAM / INPA / ULBRA / LAGOA DO JAPIIM / ELIZA MIRANDA / ACARIQUARA</t>
  </si>
  <si>
    <t>Margem do Igarapé do Tarumã Cachoeira Alta e Cachoeira Baixa</t>
  </si>
  <si>
    <t>Área de Proteção Ambiental (APA) Adolpho Ducke</t>
  </si>
  <si>
    <t>Beco Nilo Coutinho, S/N, Conjunto Castelo Branco II - Parque 10 de Novembro - CEP 69.054-503</t>
  </si>
  <si>
    <t>Reserva Particular do Patrimônio Natural (RPPN) Honda</t>
  </si>
  <si>
    <t>Reserva Particular do Patrimônio Natural (RPPN) dos Buritis</t>
  </si>
  <si>
    <t>Reserva Particular do Patrimônio Natural (RPPN) Águas do Gigante</t>
  </si>
  <si>
    <t>Reserva Particular do Patrimônio Natural (RPPN) Norikatsu Miyamoto</t>
  </si>
  <si>
    <t>Reserva Particular do Patrimônio Natural (RPPN) Bons Amigos</t>
  </si>
  <si>
    <t>Reserva Particular do Patrimônio Natural (RPPN) Sócrates Bonfim</t>
  </si>
  <si>
    <t>Reserva Particular do Patrimônio Natural (RPPN) Nazaré das Lages</t>
  </si>
  <si>
    <t>Av. Sete de Setembro, S/N - Centro - CEP 69.005-140</t>
  </si>
  <si>
    <t>Margem Igarapé do Mindu - Colônia Japonesa</t>
  </si>
  <si>
    <t>Rua Jacouari, S/N - Redenção - CEP 69.047-481</t>
  </si>
  <si>
    <t>Av. José Augusto Loureiro, S/N - Ponta Negra - CEP 69.037-225</t>
  </si>
  <si>
    <t>Estrada AM-010, KM 37 - Ramal do Leão</t>
  </si>
  <si>
    <t>Rodovia BR174, KM 15 - Ramal DNER</t>
  </si>
  <si>
    <t>Av. Sócrates Bonfim, S/N - Ponta Negra - CEP 69.037-163</t>
  </si>
  <si>
    <t>Av. Desembargador Anísio Jobim, KM 11 - Colônia Antônio Aleixo - CEP 69.008-450</t>
  </si>
  <si>
    <t>Memorial Álvaro Maia  (Antiga Fundação Villa Lobos)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</si>
  <si>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</si>
  <si>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</si>
  <si>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</si>
  <si>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</si>
  <si>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</si>
  <si>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</si>
  <si>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</si>
  <si>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</si>
  <si>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</si>
  <si>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R. Maceió, S/N  - Parque 10 de Novembro - CEP 69.055-037</t>
  </si>
  <si>
    <t>Rua Laredo, S/N - Cidade Nova - CEP 69.095-654</t>
  </si>
  <si>
    <t>Av. Abraham Benzion, S/N, Loteamento Nascentes das Águas Claras - Novo Aleixo - CEP 69.098-025</t>
  </si>
  <si>
    <t>Av. Maneca Marques, S/Nº - Parque 10 de Novembro - CEP 69.055-021</t>
  </si>
  <si>
    <t>Av. Constantino Nery, 2779 - Chapada - CEP 69.050-001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</si>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</sst>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tabSelected="1" zoomScaleNormal="100" workbookViewId="0">
      <pane ySplit="3" topLeftCell="A4" activePane="bottomLeft" state="frozen"/>
      <selection pane="bottomLeft" activeCell="B36" sqref="B36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213</v>
      </c>
      <c r="B2" s="19" t="s">
        <v>213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213</v>
      </c>
      <c r="M2" s="20" t="s">
        <v>200</v>
      </c>
      <c r="N2" s="19" t="s">
        <v>201</v>
      </c>
      <c r="O2" s="19" t="s">
        <v>202</v>
      </c>
      <c r="P2" s="19" t="s">
        <v>203</v>
      </c>
      <c r="Q2" s="19" t="s">
        <v>204</v>
      </c>
      <c r="R2" s="19" t="s">
        <v>205</v>
      </c>
      <c r="S2" s="19" t="s">
        <v>206</v>
      </c>
      <c r="T2" s="19" t="s">
        <v>207</v>
      </c>
      <c r="U2" s="19" t="s">
        <v>208</v>
      </c>
      <c r="V2" s="19" t="s">
        <v>209</v>
      </c>
      <c r="W2" s="19" t="s">
        <v>210</v>
      </c>
      <c r="X2" s="19" t="s">
        <v>211</v>
      </c>
      <c r="Y2" s="19" t="s">
        <v>212</v>
      </c>
    </row>
    <row r="3" spans="1:26" s="2" customFormat="1" ht="25.5" customHeight="1" thickBot="1" x14ac:dyDescent="0.3">
      <c r="A3" s="14" t="s">
        <v>151</v>
      </c>
      <c r="B3" s="15" t="s">
        <v>38</v>
      </c>
      <c r="C3" s="15" t="s">
        <v>186</v>
      </c>
      <c r="D3" s="15" t="s">
        <v>187</v>
      </c>
      <c r="E3" s="15" t="s">
        <v>188</v>
      </c>
      <c r="F3" s="15" t="s">
        <v>189</v>
      </c>
      <c r="G3" s="15" t="s">
        <v>190</v>
      </c>
      <c r="H3" s="15" t="s">
        <v>191</v>
      </c>
      <c r="I3" s="15" t="s">
        <v>192</v>
      </c>
      <c r="J3" s="15" t="s">
        <v>193</v>
      </c>
      <c r="K3" s="15" t="s">
        <v>194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153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88</v>
      </c>
      <c r="B4" s="3" t="str">
        <f>VLOOKUP(A4,Listas!A$3:C$30,3,0)</f>
        <v>Secretaria de Meio Ambiente e Sustentabilidade</v>
      </c>
      <c r="C4" s="11" t="s">
        <v>168</v>
      </c>
      <c r="D4" s="3"/>
      <c r="E4" s="3" t="s">
        <v>131</v>
      </c>
      <c r="F4" s="3"/>
      <c r="G4" s="3"/>
      <c r="H4" s="5"/>
      <c r="I4" s="5">
        <f t="shared" ref="I4:I10" si="0">H4+L4</f>
        <v>0</v>
      </c>
      <c r="J4" s="3"/>
      <c r="K4" s="3" t="s">
        <v>152</v>
      </c>
      <c r="L4" s="5">
        <v>0</v>
      </c>
      <c r="M4" s="9">
        <v>704</v>
      </c>
      <c r="N4" s="10" t="s">
        <v>152</v>
      </c>
      <c r="O4" s="3" t="s">
        <v>152</v>
      </c>
      <c r="P4" s="3" t="s">
        <v>152</v>
      </c>
      <c r="Q4" s="11" t="s">
        <v>164</v>
      </c>
      <c r="R4" s="3" t="s">
        <v>152</v>
      </c>
      <c r="S4" s="12" t="s">
        <v>152</v>
      </c>
      <c r="T4" s="9" t="str">
        <f>VLOOKUP(A4,Listas!A$3:C$30,2,0)</f>
        <v>28101</v>
      </c>
      <c r="U4" s="3" t="s">
        <v>152</v>
      </c>
      <c r="V4" s="3" t="s">
        <v>152</v>
      </c>
      <c r="W4" s="5" t="s">
        <v>152</v>
      </c>
      <c r="X4" s="3" t="s">
        <v>152</v>
      </c>
      <c r="Y4" s="3" t="s">
        <v>152</v>
      </c>
    </row>
    <row r="5" spans="1:26" x14ac:dyDescent="0.2">
      <c r="A5" s="3" t="s">
        <v>88</v>
      </c>
      <c r="B5" s="3" t="str">
        <f>VLOOKUP(A5,Listas!A$3:C$30,3,0)</f>
        <v>Secretaria de Meio Ambiente e Sustentabilidade</v>
      </c>
      <c r="C5" s="11" t="s">
        <v>135</v>
      </c>
      <c r="D5" s="3" t="s">
        <v>125</v>
      </c>
      <c r="E5" s="3" t="s">
        <v>131</v>
      </c>
      <c r="F5" s="3"/>
      <c r="G5" s="3"/>
      <c r="H5" s="5"/>
      <c r="I5" s="5">
        <f t="shared" si="0"/>
        <v>0</v>
      </c>
      <c r="J5" s="3"/>
      <c r="K5" s="3" t="s">
        <v>152</v>
      </c>
      <c r="L5" s="5">
        <v>0</v>
      </c>
      <c r="M5" s="9">
        <v>705</v>
      </c>
      <c r="N5" s="10" t="s">
        <v>152</v>
      </c>
      <c r="O5" s="3" t="s">
        <v>152</v>
      </c>
      <c r="P5" s="3" t="s">
        <v>152</v>
      </c>
      <c r="Q5" s="11" t="s">
        <v>160</v>
      </c>
      <c r="R5" s="3" t="s">
        <v>152</v>
      </c>
      <c r="S5" s="12" t="s">
        <v>152</v>
      </c>
      <c r="T5" s="9" t="str">
        <f>VLOOKUP(A5,Listas!A$3:C$30,2,0)</f>
        <v>28101</v>
      </c>
      <c r="U5" s="3" t="s">
        <v>152</v>
      </c>
      <c r="V5" s="3" t="s">
        <v>152</v>
      </c>
      <c r="W5" s="5" t="s">
        <v>152</v>
      </c>
      <c r="X5" s="3" t="s">
        <v>152</v>
      </c>
      <c r="Y5" s="3" t="s">
        <v>152</v>
      </c>
    </row>
    <row r="6" spans="1:26" x14ac:dyDescent="0.2">
      <c r="A6" s="3" t="s">
        <v>88</v>
      </c>
      <c r="B6" s="3" t="str">
        <f>VLOOKUP(A6,Listas!A$3:C$30,3,0)</f>
        <v>Secretaria de Meio Ambiente e Sustentabilidade</v>
      </c>
      <c r="C6" s="11" t="s">
        <v>136</v>
      </c>
      <c r="D6" s="3" t="s">
        <v>122</v>
      </c>
      <c r="E6" s="3" t="s">
        <v>131</v>
      </c>
      <c r="F6" s="3"/>
      <c r="G6" s="3"/>
      <c r="H6" s="5"/>
      <c r="I6" s="5">
        <f t="shared" si="0"/>
        <v>0</v>
      </c>
      <c r="J6" s="3"/>
      <c r="K6" s="3" t="s">
        <v>152</v>
      </c>
      <c r="L6" s="5">
        <v>0</v>
      </c>
      <c r="M6" s="9">
        <v>706</v>
      </c>
      <c r="N6" s="10" t="s">
        <v>152</v>
      </c>
      <c r="O6" s="3" t="s">
        <v>152</v>
      </c>
      <c r="P6" s="3" t="s">
        <v>152</v>
      </c>
      <c r="Q6" s="11" t="s">
        <v>161</v>
      </c>
      <c r="R6" s="3" t="s">
        <v>152</v>
      </c>
      <c r="S6" s="12" t="s">
        <v>152</v>
      </c>
      <c r="T6" s="9" t="str">
        <f>VLOOKUP(A6,Listas!A$3:C$30,2,0)</f>
        <v>28101</v>
      </c>
      <c r="U6" s="3" t="s">
        <v>152</v>
      </c>
      <c r="V6" s="3" t="s">
        <v>152</v>
      </c>
      <c r="W6" s="5" t="s">
        <v>152</v>
      </c>
      <c r="X6" s="3" t="s">
        <v>152</v>
      </c>
      <c r="Y6" s="3" t="s">
        <v>152</v>
      </c>
    </row>
    <row r="7" spans="1:26" x14ac:dyDescent="0.2">
      <c r="A7" s="3" t="s">
        <v>88</v>
      </c>
      <c r="B7" s="3" t="str">
        <f>VLOOKUP(A7,Listas!A$3:C$30,3,0)</f>
        <v>Secretaria de Meio Ambiente e Sustentabilidade</v>
      </c>
      <c r="C7" s="11" t="s">
        <v>137</v>
      </c>
      <c r="D7" s="3" t="s">
        <v>122</v>
      </c>
      <c r="E7" s="3" t="s">
        <v>131</v>
      </c>
      <c r="F7" s="3"/>
      <c r="G7" s="3"/>
      <c r="H7" s="5"/>
      <c r="I7" s="5">
        <f t="shared" si="0"/>
        <v>0</v>
      </c>
      <c r="J7" s="3"/>
      <c r="K7" s="3" t="s">
        <v>152</v>
      </c>
      <c r="L7" s="5">
        <v>0</v>
      </c>
      <c r="M7" s="9">
        <v>707</v>
      </c>
      <c r="N7" s="10" t="s">
        <v>152</v>
      </c>
      <c r="O7" s="3" t="s">
        <v>152</v>
      </c>
      <c r="P7" s="3" t="s">
        <v>152</v>
      </c>
      <c r="Q7" s="11" t="s">
        <v>163</v>
      </c>
      <c r="R7" s="3" t="s">
        <v>152</v>
      </c>
      <c r="S7" s="12" t="s">
        <v>152</v>
      </c>
      <c r="T7" s="9" t="str">
        <f>VLOOKUP(A7,Listas!A$3:C$30,2,0)</f>
        <v>28101</v>
      </c>
      <c r="U7" s="3" t="s">
        <v>152</v>
      </c>
      <c r="V7" s="3" t="s">
        <v>152</v>
      </c>
      <c r="W7" s="5" t="s">
        <v>152</v>
      </c>
      <c r="X7" s="3" t="s">
        <v>152</v>
      </c>
      <c r="Y7" s="3" t="s">
        <v>152</v>
      </c>
    </row>
    <row r="8" spans="1:26" x14ac:dyDescent="0.2">
      <c r="A8" s="3" t="s">
        <v>88</v>
      </c>
      <c r="B8" s="3" t="str">
        <f>VLOOKUP(A8,Listas!A$3:C$30,3,0)</f>
        <v>Secretaria de Meio Ambiente e Sustentabilidade</v>
      </c>
      <c r="C8" s="11" t="s">
        <v>138</v>
      </c>
      <c r="D8" s="3" t="s">
        <v>122</v>
      </c>
      <c r="E8" s="3" t="s">
        <v>131</v>
      </c>
      <c r="F8" s="3"/>
      <c r="G8" s="3"/>
      <c r="H8" s="5"/>
      <c r="I8" s="5">
        <f t="shared" si="0"/>
        <v>0</v>
      </c>
      <c r="J8" s="3"/>
      <c r="K8" s="3" t="s">
        <v>152</v>
      </c>
      <c r="L8" s="5">
        <v>0</v>
      </c>
      <c r="M8" s="9">
        <v>708</v>
      </c>
      <c r="N8" s="10" t="s">
        <v>152</v>
      </c>
      <c r="O8" s="3" t="s">
        <v>152</v>
      </c>
      <c r="P8" s="3" t="s">
        <v>152</v>
      </c>
      <c r="Q8" s="11" t="s">
        <v>158</v>
      </c>
      <c r="R8" s="3" t="s">
        <v>152</v>
      </c>
      <c r="S8" s="12" t="s">
        <v>152</v>
      </c>
      <c r="T8" s="9" t="str">
        <f>VLOOKUP(A8,Listas!A$3:C$30,2,0)</f>
        <v>28101</v>
      </c>
      <c r="U8" s="3" t="s">
        <v>152</v>
      </c>
      <c r="V8" s="3" t="s">
        <v>152</v>
      </c>
      <c r="W8" s="5" t="s">
        <v>152</v>
      </c>
      <c r="X8" s="3" t="s">
        <v>152</v>
      </c>
      <c r="Y8" s="3" t="s">
        <v>152</v>
      </c>
    </row>
    <row r="9" spans="1:26" x14ac:dyDescent="0.2">
      <c r="A9" s="3" t="s">
        <v>88</v>
      </c>
      <c r="B9" s="3" t="str">
        <f>VLOOKUP(A9,Listas!A$3:C$30,3,0)</f>
        <v>Secretaria de Meio Ambiente e Sustentabilidade</v>
      </c>
      <c r="C9" s="11" t="s">
        <v>165</v>
      </c>
      <c r="D9" s="3" t="s">
        <v>127</v>
      </c>
      <c r="E9" s="3" t="s">
        <v>131</v>
      </c>
      <c r="F9" s="3"/>
      <c r="G9" s="3"/>
      <c r="H9" s="5"/>
      <c r="I9" s="5">
        <f t="shared" si="0"/>
        <v>0</v>
      </c>
      <c r="J9" s="3"/>
      <c r="K9" s="3" t="s">
        <v>152</v>
      </c>
      <c r="L9" s="5">
        <v>0</v>
      </c>
      <c r="M9" s="9">
        <v>709</v>
      </c>
      <c r="N9" s="10" t="s">
        <v>152</v>
      </c>
      <c r="O9" s="3" t="s">
        <v>152</v>
      </c>
      <c r="P9" s="3" t="s">
        <v>152</v>
      </c>
      <c r="Q9" s="11" t="s">
        <v>166</v>
      </c>
      <c r="R9" s="3" t="s">
        <v>152</v>
      </c>
      <c r="S9" s="12" t="s">
        <v>152</v>
      </c>
      <c r="T9" s="9" t="str">
        <f>VLOOKUP(A9,Listas!A$3:C$30,2,0)</f>
        <v>28101</v>
      </c>
      <c r="U9" s="3" t="s">
        <v>152</v>
      </c>
      <c r="V9" s="3" t="s">
        <v>152</v>
      </c>
      <c r="W9" s="5" t="s">
        <v>152</v>
      </c>
      <c r="X9" s="3" t="s">
        <v>152</v>
      </c>
      <c r="Y9" s="3" t="s">
        <v>152</v>
      </c>
    </row>
    <row r="10" spans="1:26" x14ac:dyDescent="0.2">
      <c r="A10" s="3" t="s">
        <v>88</v>
      </c>
      <c r="B10" s="3" t="str">
        <f>VLOOKUP(A10,Listas!A$3:C$30,3,0)</f>
        <v>Secretaria de Meio Ambiente e Sustentabilidade</v>
      </c>
      <c r="C10" s="11" t="s">
        <v>139</v>
      </c>
      <c r="D10" s="3" t="s">
        <v>124</v>
      </c>
      <c r="E10" s="3" t="s">
        <v>131</v>
      </c>
      <c r="F10" s="3"/>
      <c r="G10" s="3"/>
      <c r="H10" s="5"/>
      <c r="I10" s="5">
        <f t="shared" si="0"/>
        <v>0</v>
      </c>
      <c r="J10" s="3"/>
      <c r="K10" s="3" t="s">
        <v>152</v>
      </c>
      <c r="L10" s="5">
        <v>0</v>
      </c>
      <c r="M10" s="9">
        <v>710</v>
      </c>
      <c r="N10" s="10" t="s">
        <v>152</v>
      </c>
      <c r="O10" s="3" t="s">
        <v>152</v>
      </c>
      <c r="P10" s="3" t="s">
        <v>152</v>
      </c>
      <c r="Q10" s="11" t="s">
        <v>177</v>
      </c>
      <c r="R10" s="3" t="s">
        <v>152</v>
      </c>
      <c r="S10" s="12" t="s">
        <v>152</v>
      </c>
      <c r="T10" s="9" t="str">
        <f>VLOOKUP(A10,Listas!A$3:C$30,2,0)</f>
        <v>28101</v>
      </c>
      <c r="U10" s="3" t="s">
        <v>152</v>
      </c>
      <c r="V10" s="3" t="s">
        <v>152</v>
      </c>
      <c r="W10" s="5" t="s">
        <v>152</v>
      </c>
      <c r="X10" s="3" t="s">
        <v>152</v>
      </c>
      <c r="Y10" s="3" t="s">
        <v>152</v>
      </c>
    </row>
    <row r="11" spans="1:26" x14ac:dyDescent="0.2">
      <c r="A11" s="3" t="s">
        <v>88</v>
      </c>
      <c r="B11" s="3" t="str">
        <f>VLOOKUP(A11,Listas!A$3:C$30,3,0)</f>
        <v>Secretaria de Meio Ambiente e Sustentabilidade</v>
      </c>
      <c r="C11" s="11" t="s">
        <v>185</v>
      </c>
      <c r="D11" s="3" t="s">
        <v>125</v>
      </c>
      <c r="E11" s="3" t="s">
        <v>131</v>
      </c>
      <c r="F11" s="3" t="s">
        <v>130</v>
      </c>
      <c r="G11" s="3">
        <v>22403</v>
      </c>
      <c r="H11" s="5"/>
      <c r="I11" s="5">
        <v>0</v>
      </c>
      <c r="J11" s="3"/>
      <c r="K11" s="3" t="s">
        <v>152</v>
      </c>
      <c r="L11" s="5">
        <v>0</v>
      </c>
      <c r="M11" s="9">
        <v>711</v>
      </c>
      <c r="N11" s="10" t="s">
        <v>152</v>
      </c>
      <c r="O11" s="3" t="s">
        <v>152</v>
      </c>
      <c r="P11" s="3" t="s">
        <v>152</v>
      </c>
      <c r="Q11" s="11" t="s">
        <v>195</v>
      </c>
      <c r="R11" s="3" t="s">
        <v>152</v>
      </c>
      <c r="S11" s="12" t="s">
        <v>152</v>
      </c>
      <c r="T11" s="9" t="str">
        <f>VLOOKUP(A11,Listas!A$3:C$30,2,0)</f>
        <v>28101</v>
      </c>
      <c r="U11" s="3" t="s">
        <v>152</v>
      </c>
      <c r="V11" s="3" t="s">
        <v>152</v>
      </c>
      <c r="W11" s="5" t="s">
        <v>152</v>
      </c>
      <c r="X11" s="3" t="s">
        <v>152</v>
      </c>
      <c r="Y11" s="3" t="s">
        <v>152</v>
      </c>
    </row>
    <row r="12" spans="1:26" x14ac:dyDescent="0.2">
      <c r="A12" s="3" t="s">
        <v>88</v>
      </c>
      <c r="B12" s="3" t="str">
        <f>VLOOKUP(A12,Listas!A$3:C$30,3,0)</f>
        <v>Secretaria de Meio Ambiente e Sustentabilidade</v>
      </c>
      <c r="C12" s="11" t="s">
        <v>140</v>
      </c>
      <c r="D12" s="3" t="s">
        <v>122</v>
      </c>
      <c r="E12" s="3" t="s">
        <v>131</v>
      </c>
      <c r="F12" s="3"/>
      <c r="G12" s="3"/>
      <c r="H12" s="5"/>
      <c r="I12" s="5">
        <f t="shared" ref="I12:I23" si="1">H12+L12</f>
        <v>0</v>
      </c>
      <c r="J12" s="3"/>
      <c r="K12" s="3" t="s">
        <v>152</v>
      </c>
      <c r="L12" s="5">
        <v>0</v>
      </c>
      <c r="M12" s="9">
        <v>712</v>
      </c>
      <c r="N12" s="10" t="s">
        <v>152</v>
      </c>
      <c r="O12" s="3" t="s">
        <v>152</v>
      </c>
      <c r="P12" s="3" t="s">
        <v>152</v>
      </c>
      <c r="Q12" s="11" t="s">
        <v>167</v>
      </c>
      <c r="R12" s="3" t="s">
        <v>152</v>
      </c>
      <c r="S12" s="12" t="s">
        <v>152</v>
      </c>
      <c r="T12" s="9" t="str">
        <f>VLOOKUP(A12,Listas!A$3:C$30,2,0)</f>
        <v>28101</v>
      </c>
      <c r="U12" s="3" t="s">
        <v>152</v>
      </c>
      <c r="V12" s="3" t="s">
        <v>152</v>
      </c>
      <c r="W12" s="5" t="s">
        <v>152</v>
      </c>
      <c r="X12" s="3" t="s">
        <v>152</v>
      </c>
      <c r="Y12" s="3" t="s">
        <v>152</v>
      </c>
    </row>
    <row r="13" spans="1:26" x14ac:dyDescent="0.2">
      <c r="A13" s="3" t="s">
        <v>88</v>
      </c>
      <c r="B13" s="3" t="str">
        <f>VLOOKUP(A13,Listas!A$3:C$30,3,0)</f>
        <v>Secretaria de Meio Ambiente e Sustentabilidade</v>
      </c>
      <c r="C13" s="11" t="s">
        <v>141</v>
      </c>
      <c r="D13" s="3" t="s">
        <v>125</v>
      </c>
      <c r="E13" s="3" t="s">
        <v>131</v>
      </c>
      <c r="F13" s="3"/>
      <c r="G13" s="3"/>
      <c r="H13" s="5"/>
      <c r="I13" s="5">
        <f t="shared" si="1"/>
        <v>0</v>
      </c>
      <c r="J13" s="3"/>
      <c r="K13" s="3" t="s">
        <v>152</v>
      </c>
      <c r="L13" s="5">
        <v>0</v>
      </c>
      <c r="M13" s="9">
        <v>713</v>
      </c>
      <c r="N13" s="10" t="s">
        <v>152</v>
      </c>
      <c r="O13" s="3" t="s">
        <v>152</v>
      </c>
      <c r="P13" s="3" t="s">
        <v>152</v>
      </c>
      <c r="Q13" s="11" t="s">
        <v>162</v>
      </c>
      <c r="R13" s="3" t="s">
        <v>152</v>
      </c>
      <c r="S13" s="12" t="s">
        <v>152</v>
      </c>
      <c r="T13" s="9" t="str">
        <f>VLOOKUP(A13,Listas!A$3:C$30,2,0)</f>
        <v>28101</v>
      </c>
      <c r="U13" s="3" t="s">
        <v>152</v>
      </c>
      <c r="V13" s="3" t="s">
        <v>152</v>
      </c>
      <c r="W13" s="5" t="s">
        <v>152</v>
      </c>
      <c r="X13" s="3" t="s">
        <v>152</v>
      </c>
      <c r="Y13" s="3" t="s">
        <v>152</v>
      </c>
    </row>
    <row r="14" spans="1:26" x14ac:dyDescent="0.2">
      <c r="A14" s="3" t="s">
        <v>88</v>
      </c>
      <c r="B14" s="3" t="str">
        <f>VLOOKUP(A14,Listas!A$3:C$30,3,0)</f>
        <v>Secretaria de Meio Ambiente e Sustentabilidade</v>
      </c>
      <c r="C14" s="11" t="s">
        <v>142</v>
      </c>
      <c r="D14" s="3" t="s">
        <v>123</v>
      </c>
      <c r="E14" s="3" t="s">
        <v>131</v>
      </c>
      <c r="F14" s="3"/>
      <c r="G14" s="3"/>
      <c r="H14" s="5"/>
      <c r="I14" s="5">
        <f t="shared" si="1"/>
        <v>0</v>
      </c>
      <c r="J14" s="3"/>
      <c r="K14" s="3" t="s">
        <v>152</v>
      </c>
      <c r="L14" s="5">
        <v>0</v>
      </c>
      <c r="M14" s="9">
        <v>714</v>
      </c>
      <c r="N14" s="10" t="s">
        <v>152</v>
      </c>
      <c r="O14" s="3" t="s">
        <v>152</v>
      </c>
      <c r="P14" s="3" t="s">
        <v>152</v>
      </c>
      <c r="Q14" s="11" t="s">
        <v>196</v>
      </c>
      <c r="R14" s="3" t="s">
        <v>152</v>
      </c>
      <c r="S14" s="12" t="s">
        <v>152</v>
      </c>
      <c r="T14" s="9" t="str">
        <f>VLOOKUP(A14,Listas!A$3:C$30,2,0)</f>
        <v>28101</v>
      </c>
      <c r="U14" s="3" t="s">
        <v>152</v>
      </c>
      <c r="V14" s="3" t="s">
        <v>152</v>
      </c>
      <c r="W14" s="5" t="s">
        <v>152</v>
      </c>
      <c r="X14" s="3" t="s">
        <v>152</v>
      </c>
      <c r="Y14" s="3" t="s">
        <v>152</v>
      </c>
    </row>
    <row r="15" spans="1:26" x14ac:dyDescent="0.2">
      <c r="A15" s="3" t="s">
        <v>88</v>
      </c>
      <c r="B15" s="3" t="str">
        <f>VLOOKUP(A15,Listas!A$3:C$30,3,0)</f>
        <v>Secretaria de Meio Ambiente e Sustentabilidade</v>
      </c>
      <c r="C15" s="11" t="s">
        <v>143</v>
      </c>
      <c r="D15" s="3" t="s">
        <v>123</v>
      </c>
      <c r="E15" s="3" t="s">
        <v>131</v>
      </c>
      <c r="F15" s="3"/>
      <c r="G15" s="3"/>
      <c r="H15" s="5"/>
      <c r="I15" s="5">
        <f t="shared" si="1"/>
        <v>0</v>
      </c>
      <c r="J15" s="3"/>
      <c r="K15" s="3" t="s">
        <v>152</v>
      </c>
      <c r="L15" s="5">
        <v>0</v>
      </c>
      <c r="M15" s="9">
        <v>715</v>
      </c>
      <c r="N15" s="10" t="s">
        <v>152</v>
      </c>
      <c r="O15" s="3" t="s">
        <v>152</v>
      </c>
      <c r="P15" s="3" t="s">
        <v>152</v>
      </c>
      <c r="Q15" s="11" t="s">
        <v>197</v>
      </c>
      <c r="R15" s="3" t="s">
        <v>152</v>
      </c>
      <c r="S15" s="12" t="s">
        <v>152</v>
      </c>
      <c r="T15" s="9" t="str">
        <f>VLOOKUP(A15,Listas!A$3:C$30,2,0)</f>
        <v>28101</v>
      </c>
      <c r="U15" s="3" t="s">
        <v>152</v>
      </c>
      <c r="V15" s="3" t="s">
        <v>152</v>
      </c>
      <c r="W15" s="5" t="s">
        <v>152</v>
      </c>
      <c r="X15" s="3" t="s">
        <v>152</v>
      </c>
      <c r="Y15" s="3" t="s">
        <v>152</v>
      </c>
    </row>
    <row r="16" spans="1:26" x14ac:dyDescent="0.2">
      <c r="A16" s="3" t="s">
        <v>88</v>
      </c>
      <c r="B16" s="3" t="str">
        <f>VLOOKUP(A16,Listas!A$3:C$30,3,0)</f>
        <v>Secretaria de Meio Ambiente e Sustentabilidade</v>
      </c>
      <c r="C16" s="11" t="s">
        <v>144</v>
      </c>
      <c r="D16" s="3" t="s">
        <v>125</v>
      </c>
      <c r="E16" s="3" t="s">
        <v>131</v>
      </c>
      <c r="F16" s="3"/>
      <c r="G16" s="3"/>
      <c r="H16" s="5"/>
      <c r="I16" s="5">
        <f t="shared" si="1"/>
        <v>0</v>
      </c>
      <c r="J16" s="3"/>
      <c r="K16" s="3" t="s">
        <v>152</v>
      </c>
      <c r="L16" s="5">
        <v>0</v>
      </c>
      <c r="M16" s="9">
        <v>716</v>
      </c>
      <c r="N16" s="10" t="s">
        <v>152</v>
      </c>
      <c r="O16" s="3" t="s">
        <v>152</v>
      </c>
      <c r="P16" s="3" t="s">
        <v>152</v>
      </c>
      <c r="Q16" s="11" t="s">
        <v>169</v>
      </c>
      <c r="R16" s="3" t="s">
        <v>152</v>
      </c>
      <c r="S16" s="12" t="s">
        <v>152</v>
      </c>
      <c r="T16" s="9" t="str">
        <f>VLOOKUP(A16,Listas!A$3:C$30,2,0)</f>
        <v>28101</v>
      </c>
      <c r="U16" s="3" t="s">
        <v>152</v>
      </c>
      <c r="V16" s="3" t="s">
        <v>152</v>
      </c>
      <c r="W16" s="5" t="s">
        <v>152</v>
      </c>
      <c r="X16" s="3" t="s">
        <v>152</v>
      </c>
      <c r="Y16" s="3" t="s">
        <v>152</v>
      </c>
    </row>
    <row r="17" spans="1:25" x14ac:dyDescent="0.2">
      <c r="A17" s="3" t="s">
        <v>88</v>
      </c>
      <c r="B17" s="3" t="str">
        <f>VLOOKUP(A17,Listas!A$3:C$30,3,0)</f>
        <v>Secretaria de Meio Ambiente e Sustentabilidade</v>
      </c>
      <c r="C17" s="11" t="s">
        <v>145</v>
      </c>
      <c r="D17" s="3" t="s">
        <v>123</v>
      </c>
      <c r="E17" s="3" t="s">
        <v>131</v>
      </c>
      <c r="F17" s="3"/>
      <c r="G17" s="3"/>
      <c r="H17" s="5"/>
      <c r="I17" s="5">
        <f t="shared" si="1"/>
        <v>0</v>
      </c>
      <c r="J17" s="3"/>
      <c r="K17" s="3" t="s">
        <v>152</v>
      </c>
      <c r="L17" s="5">
        <v>0</v>
      </c>
      <c r="M17" s="9">
        <v>717</v>
      </c>
      <c r="N17" s="10" t="s">
        <v>152</v>
      </c>
      <c r="O17" s="3" t="s">
        <v>152</v>
      </c>
      <c r="P17" s="3" t="s">
        <v>152</v>
      </c>
      <c r="Q17" s="11" t="s">
        <v>155</v>
      </c>
      <c r="R17" s="3" t="s">
        <v>152</v>
      </c>
      <c r="S17" s="12" t="s">
        <v>152</v>
      </c>
      <c r="T17" s="9" t="str">
        <f>VLOOKUP(A17,Listas!A$3:C$30,2,0)</f>
        <v>28101</v>
      </c>
      <c r="U17" s="3" t="s">
        <v>152</v>
      </c>
      <c r="V17" s="3" t="s">
        <v>152</v>
      </c>
      <c r="W17" s="5" t="s">
        <v>152</v>
      </c>
      <c r="X17" s="3" t="s">
        <v>152</v>
      </c>
      <c r="Y17" s="3" t="s">
        <v>152</v>
      </c>
    </row>
    <row r="18" spans="1:25" x14ac:dyDescent="0.2">
      <c r="A18" s="3" t="s">
        <v>88</v>
      </c>
      <c r="B18" s="3" t="str">
        <f>VLOOKUP(A18,Listas!A$3:C$30,3,0)</f>
        <v>Secretaria de Meio Ambiente e Sustentabilidade</v>
      </c>
      <c r="C18" s="11" t="s">
        <v>146</v>
      </c>
      <c r="D18" s="3" t="s">
        <v>125</v>
      </c>
      <c r="E18" s="3" t="s">
        <v>131</v>
      </c>
      <c r="F18" s="3"/>
      <c r="G18" s="3"/>
      <c r="H18" s="5"/>
      <c r="I18" s="5">
        <f t="shared" si="1"/>
        <v>0</v>
      </c>
      <c r="J18" s="3"/>
      <c r="K18" s="3" t="s">
        <v>152</v>
      </c>
      <c r="L18" s="5">
        <v>0</v>
      </c>
      <c r="M18" s="9">
        <v>718</v>
      </c>
      <c r="N18" s="10" t="s">
        <v>152</v>
      </c>
      <c r="O18" s="3" t="s">
        <v>152</v>
      </c>
      <c r="P18" s="3" t="s">
        <v>152</v>
      </c>
      <c r="Q18" s="11" t="s">
        <v>198</v>
      </c>
      <c r="R18" s="3" t="s">
        <v>152</v>
      </c>
      <c r="S18" s="12" t="s">
        <v>152</v>
      </c>
      <c r="T18" s="9" t="str">
        <f>VLOOKUP(A18,Listas!A$3:C$30,2,0)</f>
        <v>28101</v>
      </c>
      <c r="U18" s="3" t="s">
        <v>152</v>
      </c>
      <c r="V18" s="3" t="s">
        <v>152</v>
      </c>
      <c r="W18" s="5" t="s">
        <v>152</v>
      </c>
      <c r="X18" s="3" t="s">
        <v>152</v>
      </c>
      <c r="Y18" s="3" t="s">
        <v>152</v>
      </c>
    </row>
    <row r="19" spans="1:25" x14ac:dyDescent="0.2">
      <c r="A19" s="3" t="s">
        <v>88</v>
      </c>
      <c r="B19" s="3" t="str">
        <f>VLOOKUP(A19,Listas!A$3:C$30,3,0)</f>
        <v>Secretaria de Meio Ambiente e Sustentabilidade</v>
      </c>
      <c r="C19" s="11" t="s">
        <v>147</v>
      </c>
      <c r="D19" s="3" t="s">
        <v>124</v>
      </c>
      <c r="E19" s="3" t="s">
        <v>131</v>
      </c>
      <c r="F19" s="3"/>
      <c r="G19" s="3"/>
      <c r="H19" s="5"/>
      <c r="I19" s="5">
        <f t="shared" si="1"/>
        <v>0</v>
      </c>
      <c r="J19" s="3"/>
      <c r="K19" s="3" t="s">
        <v>152</v>
      </c>
      <c r="L19" s="5">
        <v>0</v>
      </c>
      <c r="M19" s="9">
        <v>719</v>
      </c>
      <c r="N19" s="10" t="s">
        <v>152</v>
      </c>
      <c r="O19" s="3" t="s">
        <v>152</v>
      </c>
      <c r="P19" s="3" t="s">
        <v>152</v>
      </c>
      <c r="Q19" s="11" t="s">
        <v>156</v>
      </c>
      <c r="R19" s="3" t="s">
        <v>152</v>
      </c>
      <c r="S19" s="12" t="s">
        <v>152</v>
      </c>
      <c r="T19" s="9" t="str">
        <f>VLOOKUP(A19,Listas!A$3:C$30,2,0)</f>
        <v>28101</v>
      </c>
      <c r="U19" s="3" t="s">
        <v>152</v>
      </c>
      <c r="V19" s="3" t="s">
        <v>152</v>
      </c>
      <c r="W19" s="5" t="s">
        <v>152</v>
      </c>
      <c r="X19" s="3" t="s">
        <v>152</v>
      </c>
      <c r="Y19" s="3" t="s">
        <v>152</v>
      </c>
    </row>
    <row r="20" spans="1:25" x14ac:dyDescent="0.2">
      <c r="A20" s="3" t="s">
        <v>88</v>
      </c>
      <c r="B20" s="3" t="str">
        <f>VLOOKUP(A20,Listas!A$3:C$30,3,0)</f>
        <v>Secretaria de Meio Ambiente e Sustentabilidade</v>
      </c>
      <c r="C20" s="11" t="s">
        <v>154</v>
      </c>
      <c r="D20" s="3" t="s">
        <v>127</v>
      </c>
      <c r="E20" s="3" t="s">
        <v>131</v>
      </c>
      <c r="F20" s="3"/>
      <c r="G20" s="3"/>
      <c r="H20" s="5"/>
      <c r="I20" s="5">
        <f t="shared" si="1"/>
        <v>0</v>
      </c>
      <c r="J20" s="3"/>
      <c r="K20" s="3" t="s">
        <v>152</v>
      </c>
      <c r="L20" s="5">
        <v>0</v>
      </c>
      <c r="M20" s="9">
        <v>720</v>
      </c>
      <c r="N20" s="10" t="s">
        <v>152</v>
      </c>
      <c r="O20" s="3" t="s">
        <v>152</v>
      </c>
      <c r="P20" s="3" t="s">
        <v>152</v>
      </c>
      <c r="Q20" s="11" t="s">
        <v>157</v>
      </c>
      <c r="R20" s="3" t="s">
        <v>152</v>
      </c>
      <c r="S20" s="12" t="s">
        <v>152</v>
      </c>
      <c r="T20" s="9" t="str">
        <f>VLOOKUP(A20,Listas!A$3:C$30,2,0)</f>
        <v>28101</v>
      </c>
      <c r="U20" s="3" t="s">
        <v>152</v>
      </c>
      <c r="V20" s="3" t="s">
        <v>152</v>
      </c>
      <c r="W20" s="5" t="s">
        <v>152</v>
      </c>
      <c r="X20" s="3" t="s">
        <v>152</v>
      </c>
      <c r="Y20" s="3" t="s">
        <v>152</v>
      </c>
    </row>
    <row r="21" spans="1:25" x14ac:dyDescent="0.2">
      <c r="A21" s="3" t="s">
        <v>88</v>
      </c>
      <c r="B21" s="3" t="str">
        <f>VLOOKUP(A21,Listas!A$3:C$30,3,0)</f>
        <v>Secretaria de Meio Ambiente e Sustentabilidade</v>
      </c>
      <c r="C21" s="11" t="s">
        <v>149</v>
      </c>
      <c r="D21" s="3" t="s">
        <v>125</v>
      </c>
      <c r="E21" s="3" t="s">
        <v>131</v>
      </c>
      <c r="F21" s="3" t="s">
        <v>130</v>
      </c>
      <c r="G21" s="3">
        <v>14338</v>
      </c>
      <c r="H21" s="5">
        <v>21824201.460000001</v>
      </c>
      <c r="I21" s="5">
        <f t="shared" si="1"/>
        <v>22385289.120000001</v>
      </c>
      <c r="J21" s="3"/>
      <c r="K21" s="3" t="s">
        <v>152</v>
      </c>
      <c r="L21" s="5">
        <v>561087.66</v>
      </c>
      <c r="M21" s="9">
        <v>721</v>
      </c>
      <c r="N21" s="10" t="s">
        <v>152</v>
      </c>
      <c r="O21" s="3" t="s">
        <v>152</v>
      </c>
      <c r="P21" s="3" t="s">
        <v>152</v>
      </c>
      <c r="Q21" s="11" t="s">
        <v>199</v>
      </c>
      <c r="R21" s="3" t="s">
        <v>152</v>
      </c>
      <c r="S21" s="12" t="s">
        <v>152</v>
      </c>
      <c r="T21" s="9" t="str">
        <f>VLOOKUP(A21,Listas!A$3:C$30,2,0)</f>
        <v>28101</v>
      </c>
      <c r="U21" s="3" t="s">
        <v>152</v>
      </c>
      <c r="V21" s="3" t="s">
        <v>152</v>
      </c>
      <c r="W21" s="5" t="s">
        <v>152</v>
      </c>
      <c r="X21" s="3" t="s">
        <v>152</v>
      </c>
      <c r="Y21" s="3" t="s">
        <v>152</v>
      </c>
    </row>
    <row r="22" spans="1:25" x14ac:dyDescent="0.2">
      <c r="A22" s="3" t="s">
        <v>88</v>
      </c>
      <c r="B22" s="3" t="str">
        <f>VLOOKUP(A22,Listas!A$3:C$30,3,0)</f>
        <v>Secretaria de Meio Ambiente e Sustentabilidade</v>
      </c>
      <c r="C22" s="11" t="s">
        <v>150</v>
      </c>
      <c r="D22" s="3" t="s">
        <v>122</v>
      </c>
      <c r="E22" s="3" t="s">
        <v>131</v>
      </c>
      <c r="F22" s="3" t="s">
        <v>129</v>
      </c>
      <c r="G22" s="3">
        <v>4016</v>
      </c>
      <c r="H22" s="5">
        <v>31245248.699999999</v>
      </c>
      <c r="I22" s="5">
        <f t="shared" si="1"/>
        <v>34991831.149999999</v>
      </c>
      <c r="J22" s="3"/>
      <c r="K22" s="3" t="s">
        <v>152</v>
      </c>
      <c r="L22" s="5">
        <v>3746582.45</v>
      </c>
      <c r="M22" s="9">
        <v>722</v>
      </c>
      <c r="N22" s="10" t="s">
        <v>152</v>
      </c>
      <c r="O22" s="3" t="s">
        <v>152</v>
      </c>
      <c r="P22" s="3" t="s">
        <v>152</v>
      </c>
      <c r="Q22" s="11" t="s">
        <v>163</v>
      </c>
      <c r="R22" s="3" t="s">
        <v>152</v>
      </c>
      <c r="S22" s="12" t="s">
        <v>152</v>
      </c>
      <c r="T22" s="9" t="str">
        <f>VLOOKUP(A22,Listas!A$3:C$30,2,0)</f>
        <v>28101</v>
      </c>
      <c r="U22" s="3" t="s">
        <v>152</v>
      </c>
      <c r="V22" s="3" t="s">
        <v>152</v>
      </c>
      <c r="W22" s="5" t="s">
        <v>152</v>
      </c>
      <c r="X22" s="3" t="s">
        <v>152</v>
      </c>
      <c r="Y22" s="3" t="s">
        <v>152</v>
      </c>
    </row>
    <row r="23" spans="1:25" x14ac:dyDescent="0.2">
      <c r="A23" s="3" t="s">
        <v>88</v>
      </c>
      <c r="B23" s="3" t="str">
        <f>VLOOKUP(A23,Listas!A$3:C$30,3,0)</f>
        <v>Secretaria de Meio Ambiente e Sustentabilidade</v>
      </c>
      <c r="C23" s="11" t="s">
        <v>148</v>
      </c>
      <c r="D23" s="3" t="s">
        <v>128</v>
      </c>
      <c r="E23" s="3" t="s">
        <v>131</v>
      </c>
      <c r="F23" s="3"/>
      <c r="G23" s="3"/>
      <c r="H23" s="5"/>
      <c r="I23" s="5">
        <f t="shared" si="1"/>
        <v>0</v>
      </c>
      <c r="J23" s="3"/>
      <c r="K23" s="3" t="s">
        <v>152</v>
      </c>
      <c r="L23" s="5">
        <v>0</v>
      </c>
      <c r="M23" s="9">
        <v>723</v>
      </c>
      <c r="N23" s="10" t="s">
        <v>152</v>
      </c>
      <c r="O23" s="3" t="s">
        <v>152</v>
      </c>
      <c r="P23" s="3" t="s">
        <v>152</v>
      </c>
      <c r="Q23" s="11" t="s">
        <v>159</v>
      </c>
      <c r="R23" s="3" t="s">
        <v>152</v>
      </c>
      <c r="S23" s="12" t="s">
        <v>152</v>
      </c>
      <c r="T23" s="9" t="str">
        <f>VLOOKUP(A23,Listas!A$3:C$30,2,0)</f>
        <v>28101</v>
      </c>
      <c r="U23" s="3" t="s">
        <v>152</v>
      </c>
      <c r="V23" s="3" t="s">
        <v>152</v>
      </c>
      <c r="W23" s="5" t="s">
        <v>152</v>
      </c>
      <c r="X23" s="3" t="s">
        <v>152</v>
      </c>
      <c r="Y23" s="3" t="s">
        <v>152</v>
      </c>
    </row>
    <row r="24" spans="1:25" x14ac:dyDescent="0.2">
      <c r="A24" s="3" t="s">
        <v>88</v>
      </c>
      <c r="B24" s="3" t="str">
        <f>VLOOKUP(A24,Listas!A$3:C$30,3,0)</f>
        <v>Secretaria de Meio Ambiente e Sustentabilidade</v>
      </c>
      <c r="C24" s="11" t="s">
        <v>170</v>
      </c>
      <c r="D24" s="3" t="s">
        <v>125</v>
      </c>
      <c r="E24" s="3" t="s">
        <v>131</v>
      </c>
      <c r="F24" s="3"/>
      <c r="G24" s="3"/>
      <c r="H24" s="5"/>
      <c r="I24" s="5"/>
      <c r="J24" s="3"/>
      <c r="K24" s="3" t="s">
        <v>152</v>
      </c>
      <c r="L24" s="5">
        <v>0</v>
      </c>
      <c r="M24" s="9">
        <v>724</v>
      </c>
      <c r="N24" s="10" t="s">
        <v>152</v>
      </c>
      <c r="O24" s="3" t="s">
        <v>152</v>
      </c>
      <c r="P24" s="3" t="s">
        <v>152</v>
      </c>
      <c r="Q24" s="11" t="s">
        <v>178</v>
      </c>
      <c r="R24" s="3" t="s">
        <v>152</v>
      </c>
      <c r="S24" s="12" t="s">
        <v>152</v>
      </c>
      <c r="T24" s="9" t="str">
        <f>VLOOKUP(A24,Listas!A$3:C$30,2,0)</f>
        <v>28101</v>
      </c>
      <c r="U24" s="3" t="s">
        <v>152</v>
      </c>
      <c r="V24" s="3" t="s">
        <v>152</v>
      </c>
      <c r="W24" s="5" t="s">
        <v>152</v>
      </c>
      <c r="X24" s="3" t="s">
        <v>152</v>
      </c>
      <c r="Y24" s="3" t="s">
        <v>152</v>
      </c>
    </row>
    <row r="25" spans="1:25" x14ac:dyDescent="0.2">
      <c r="A25" s="3" t="s">
        <v>88</v>
      </c>
      <c r="B25" s="3" t="str">
        <f>VLOOKUP(A25,Listas!A$3:C$30,3,0)</f>
        <v>Secretaria de Meio Ambiente e Sustentabilidade</v>
      </c>
      <c r="C25" s="11" t="s">
        <v>171</v>
      </c>
      <c r="D25" s="3" t="s">
        <v>126</v>
      </c>
      <c r="E25" s="3" t="s">
        <v>131</v>
      </c>
      <c r="F25" s="3"/>
      <c r="G25" s="3"/>
      <c r="H25" s="5"/>
      <c r="I25" s="5"/>
      <c r="J25" s="3"/>
      <c r="K25" s="3" t="s">
        <v>152</v>
      </c>
      <c r="L25" s="5">
        <v>0</v>
      </c>
      <c r="M25" s="9">
        <v>725</v>
      </c>
      <c r="N25" s="10" t="s">
        <v>152</v>
      </c>
      <c r="O25" s="3" t="s">
        <v>152</v>
      </c>
      <c r="P25" s="3" t="s">
        <v>152</v>
      </c>
      <c r="Q25" s="11" t="s">
        <v>179</v>
      </c>
      <c r="R25" s="3" t="s">
        <v>152</v>
      </c>
      <c r="S25" s="12" t="s">
        <v>152</v>
      </c>
      <c r="T25" s="9" t="str">
        <f>VLOOKUP(A25,Listas!A$3:C$30,2,0)</f>
        <v>28101</v>
      </c>
      <c r="U25" s="3" t="s">
        <v>152</v>
      </c>
      <c r="V25" s="3" t="s">
        <v>152</v>
      </c>
      <c r="W25" s="5" t="s">
        <v>152</v>
      </c>
      <c r="X25" s="3" t="s">
        <v>152</v>
      </c>
      <c r="Y25" s="3" t="s">
        <v>152</v>
      </c>
    </row>
    <row r="26" spans="1:25" x14ac:dyDescent="0.2">
      <c r="A26" s="3" t="s">
        <v>88</v>
      </c>
      <c r="B26" s="3" t="str">
        <f>VLOOKUP(A26,Listas!A$3:C$30,3,0)</f>
        <v>Secretaria de Meio Ambiente e Sustentabilidade</v>
      </c>
      <c r="C26" s="11" t="s">
        <v>172</v>
      </c>
      <c r="D26" s="3" t="s">
        <v>122</v>
      </c>
      <c r="E26" s="3" t="s">
        <v>131</v>
      </c>
      <c r="F26" s="3"/>
      <c r="G26" s="3"/>
      <c r="H26" s="5"/>
      <c r="I26" s="5"/>
      <c r="J26" s="3"/>
      <c r="K26" s="3" t="s">
        <v>152</v>
      </c>
      <c r="L26" s="5">
        <v>0</v>
      </c>
      <c r="M26" s="9">
        <v>726</v>
      </c>
      <c r="N26" s="10" t="s">
        <v>152</v>
      </c>
      <c r="O26" s="3" t="s">
        <v>152</v>
      </c>
      <c r="P26" s="3" t="s">
        <v>152</v>
      </c>
      <c r="Q26" s="11" t="s">
        <v>180</v>
      </c>
      <c r="R26" s="3" t="s">
        <v>152</v>
      </c>
      <c r="S26" s="12" t="s">
        <v>152</v>
      </c>
      <c r="T26" s="9" t="str">
        <f>VLOOKUP(A26,Listas!A$3:C$30,2,0)</f>
        <v>28101</v>
      </c>
      <c r="U26" s="3" t="s">
        <v>152</v>
      </c>
      <c r="V26" s="3" t="s">
        <v>152</v>
      </c>
      <c r="W26" s="5" t="s">
        <v>152</v>
      </c>
      <c r="X26" s="3" t="s">
        <v>152</v>
      </c>
      <c r="Y26" s="3" t="s">
        <v>152</v>
      </c>
    </row>
    <row r="27" spans="1:25" x14ac:dyDescent="0.2">
      <c r="A27" s="3" t="s">
        <v>88</v>
      </c>
      <c r="B27" s="3" t="str">
        <f>VLOOKUP(A27,Listas!A$3:C$30,3,0)</f>
        <v>Secretaria de Meio Ambiente e Sustentabilidade</v>
      </c>
      <c r="C27" s="11" t="s">
        <v>173</v>
      </c>
      <c r="D27" s="3" t="s">
        <v>128</v>
      </c>
      <c r="E27" s="3" t="s">
        <v>131</v>
      </c>
      <c r="F27" s="3"/>
      <c r="G27" s="3"/>
      <c r="H27" s="5"/>
      <c r="I27" s="5"/>
      <c r="J27" s="3"/>
      <c r="K27" s="3" t="s">
        <v>152</v>
      </c>
      <c r="L27" s="5">
        <v>0</v>
      </c>
      <c r="M27" s="9">
        <v>727</v>
      </c>
      <c r="N27" s="10" t="s">
        <v>152</v>
      </c>
      <c r="O27" s="3" t="s">
        <v>152</v>
      </c>
      <c r="P27" s="3" t="s">
        <v>152</v>
      </c>
      <c r="Q27" s="11" t="s">
        <v>181</v>
      </c>
      <c r="R27" s="3" t="s">
        <v>152</v>
      </c>
      <c r="S27" s="12" t="s">
        <v>152</v>
      </c>
      <c r="T27" s="9" t="str">
        <f>VLOOKUP(A27,Listas!A$3:C$30,2,0)</f>
        <v>28101</v>
      </c>
      <c r="U27" s="3" t="s">
        <v>152</v>
      </c>
      <c r="V27" s="3" t="s">
        <v>152</v>
      </c>
      <c r="W27" s="5" t="s">
        <v>152</v>
      </c>
      <c r="X27" s="3" t="s">
        <v>152</v>
      </c>
      <c r="Y27" s="3" t="s">
        <v>152</v>
      </c>
    </row>
    <row r="28" spans="1:25" x14ac:dyDescent="0.2">
      <c r="A28" s="3" t="s">
        <v>88</v>
      </c>
      <c r="B28" s="3" t="str">
        <f>VLOOKUP(A28,Listas!A$3:C$30,3,0)</f>
        <v>Secretaria de Meio Ambiente e Sustentabilidade</v>
      </c>
      <c r="C28" s="11" t="s">
        <v>174</v>
      </c>
      <c r="D28" s="3" t="s">
        <v>128</v>
      </c>
      <c r="E28" s="3" t="s">
        <v>131</v>
      </c>
      <c r="F28" s="3"/>
      <c r="G28" s="3"/>
      <c r="H28" s="5"/>
      <c r="I28" s="5"/>
      <c r="J28" s="3"/>
      <c r="K28" s="3" t="s">
        <v>152</v>
      </c>
      <c r="L28" s="5">
        <v>0</v>
      </c>
      <c r="M28" s="9">
        <v>728</v>
      </c>
      <c r="N28" s="10" t="s">
        <v>152</v>
      </c>
      <c r="O28" s="3" t="s">
        <v>152</v>
      </c>
      <c r="P28" s="3" t="s">
        <v>152</v>
      </c>
      <c r="Q28" s="11" t="s">
        <v>182</v>
      </c>
      <c r="R28" s="3" t="s">
        <v>152</v>
      </c>
      <c r="S28" s="12" t="s">
        <v>152</v>
      </c>
      <c r="T28" s="9" t="str">
        <f>VLOOKUP(A28,Listas!A$3:C$30,2,0)</f>
        <v>28101</v>
      </c>
      <c r="U28" s="3" t="s">
        <v>152</v>
      </c>
      <c r="V28" s="3" t="s">
        <v>152</v>
      </c>
      <c r="W28" s="5" t="s">
        <v>152</v>
      </c>
      <c r="X28" s="3" t="s">
        <v>152</v>
      </c>
      <c r="Y28" s="3" t="s">
        <v>152</v>
      </c>
    </row>
    <row r="29" spans="1:25" x14ac:dyDescent="0.2">
      <c r="A29" s="3" t="s">
        <v>88</v>
      </c>
      <c r="B29" s="3" t="str">
        <f>VLOOKUP(A29,Listas!A$3:C$30,3,0)</f>
        <v>Secretaria de Meio Ambiente e Sustentabilidade</v>
      </c>
      <c r="C29" s="11" t="s">
        <v>175</v>
      </c>
      <c r="D29" s="3" t="s">
        <v>122</v>
      </c>
      <c r="E29" s="3" t="s">
        <v>131</v>
      </c>
      <c r="F29" s="3"/>
      <c r="G29" s="3"/>
      <c r="H29" s="5"/>
      <c r="I29" s="5"/>
      <c r="J29" s="3"/>
      <c r="K29" s="3" t="s">
        <v>152</v>
      </c>
      <c r="L29" s="5">
        <v>0</v>
      </c>
      <c r="M29" s="9">
        <v>729</v>
      </c>
      <c r="N29" s="10" t="s">
        <v>152</v>
      </c>
      <c r="O29" s="3" t="s">
        <v>152</v>
      </c>
      <c r="P29" s="3" t="s">
        <v>152</v>
      </c>
      <c r="Q29" s="11" t="s">
        <v>183</v>
      </c>
      <c r="R29" s="3" t="s">
        <v>152</v>
      </c>
      <c r="S29" s="12" t="s">
        <v>152</v>
      </c>
      <c r="T29" s="9" t="str">
        <f>VLOOKUP(A29,Listas!A$3:C$30,2,0)</f>
        <v>28101</v>
      </c>
      <c r="U29" s="3" t="s">
        <v>152</v>
      </c>
      <c r="V29" s="3" t="s">
        <v>152</v>
      </c>
      <c r="W29" s="5" t="s">
        <v>152</v>
      </c>
      <c r="X29" s="3" t="s">
        <v>152</v>
      </c>
      <c r="Y29" s="3" t="s">
        <v>152</v>
      </c>
    </row>
    <row r="30" spans="1:25" x14ac:dyDescent="0.2">
      <c r="A30" s="3" t="s">
        <v>88</v>
      </c>
      <c r="B30" s="3" t="str">
        <f>VLOOKUP(A30,Listas!A$3:C$30,3,0)</f>
        <v>Secretaria de Meio Ambiente e Sustentabilidade</v>
      </c>
      <c r="C30" s="11" t="s">
        <v>176</v>
      </c>
      <c r="D30" s="3" t="s">
        <v>128</v>
      </c>
      <c r="E30" s="3" t="s">
        <v>131</v>
      </c>
      <c r="F30" s="3"/>
      <c r="G30" s="3"/>
      <c r="H30" s="5"/>
      <c r="I30" s="5"/>
      <c r="J30" s="3"/>
      <c r="K30" s="3" t="s">
        <v>152</v>
      </c>
      <c r="L30" s="5">
        <v>0</v>
      </c>
      <c r="M30" s="9">
        <v>730</v>
      </c>
      <c r="N30" s="10" t="s">
        <v>152</v>
      </c>
      <c r="O30" s="3" t="s">
        <v>152</v>
      </c>
      <c r="P30" s="3" t="s">
        <v>152</v>
      </c>
      <c r="Q30" s="11" t="s">
        <v>184</v>
      </c>
      <c r="R30" s="3" t="s">
        <v>152</v>
      </c>
      <c r="S30" s="12" t="s">
        <v>152</v>
      </c>
      <c r="T30" s="9" t="str">
        <f>VLOOKUP(A30,Listas!A$3:C$30,2,0)</f>
        <v>28101</v>
      </c>
      <c r="U30" s="3" t="s">
        <v>152</v>
      </c>
      <c r="V30" s="3" t="s">
        <v>152</v>
      </c>
      <c r="W30" s="5" t="s">
        <v>152</v>
      </c>
      <c r="X30" s="3" t="s">
        <v>152</v>
      </c>
      <c r="Y30" s="3" t="s">
        <v>152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S4:S30</xm:sqref>
        </x14:dataValidation>
        <x14:dataValidation type="list" allowBlank="1" showInputMessage="1" showErrorMessage="1">
          <x14:formula1>
            <xm:f>Listas!$D$3:$D$8</xm:f>
          </x14:formula1>
          <xm:sqref>P4:P30</xm:sqref>
        </x14:dataValidation>
        <x14:dataValidation type="list" allowBlank="1" showInputMessage="1" showErrorMessage="1">
          <x14:formula1>
            <xm:f>Listas!$E$3:$E$10</xm:f>
          </x14:formula1>
          <xm:sqref>D4:D30</xm:sqref>
        </x14:dataValidation>
        <x14:dataValidation type="list" allowBlank="1" showInputMessage="1" showErrorMessage="1">
          <x14:formula1>
            <xm:f>Listas!$A$3:$A$30</xm:f>
          </x14:formula1>
          <xm:sqref>A4:A30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152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152</v>
      </c>
      <c r="G8" s="6" t="s">
        <v>152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132</v>
      </c>
      <c r="B27" s="6" t="s">
        <v>133</v>
      </c>
      <c r="C27" s="6" t="s">
        <v>134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2026-04-28T19:45:55Z</dcterms:modified>
</cp:coreProperties>
</file>