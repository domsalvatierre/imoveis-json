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DPAT\_GESTÃO DE IMÓVEIS\1.INFORMAÇÕES IMÓVEIS\IMÓVEIS COM REGISTRO E SEM REGISTRO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Imóveis'!$A$3:$Y$5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" i="1" l="1"/>
  <c r="T5" i="1"/>
  <c r="I4" i="1" l="1"/>
  <c r="I5" i="1"/>
  <c r="B4" i="1" l="1"/>
  <c r="B5" i="1"/>
</calcChain>
</file>

<file path=xl/sharedStrings.xml><?xml version="1.0" encoding="utf-8"?>
<sst xmlns="http://schemas.openxmlformats.org/spreadsheetml/2006/main" count="189" uniqueCount="158">
  <si>
    <t>ENDEREÇO</t>
  </si>
  <si>
    <t>ZONA</t>
  </si>
  <si>
    <t>CARTÓRIO</t>
  </si>
  <si>
    <t xml:space="preserve">EDIFICAÇÃO 
VALOR (R$) </t>
  </si>
  <si>
    <t>UG</t>
  </si>
  <si>
    <t>VALOR INICIAL DO BEM (R$)</t>
  </si>
  <si>
    <t>Nº AFETAÇÃO</t>
  </si>
  <si>
    <t>DOM AFETAÇÃO</t>
  </si>
  <si>
    <t>LEI DE AFETAÇÃO</t>
  </si>
  <si>
    <t>SITUAÇÃO DE USO</t>
  </si>
  <si>
    <t>ÁREA DO TERRENO (m²)</t>
  </si>
  <si>
    <t>ÁREA CONSTRUIDA (m²)</t>
  </si>
  <si>
    <t>DATA DO ÚLTIMO INVENTÁRIO</t>
  </si>
  <si>
    <t>DATA DE ENTRADA / INCORPORAÇÃO</t>
  </si>
  <si>
    <t>SITUAÇÃO USO</t>
  </si>
  <si>
    <t>Nº TOMBAMENTO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</si>
  <si>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</si>
  <si>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</si>
  <si>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</si>
  <si>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</si>
  <si>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</si>
  <si>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</si>
  <si>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</si>
  <si>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</si>
  <si>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</si>
  <si>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</si>
  <si>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</si>
  <si>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</si>
  <si>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</si>
  <si>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</si>
  <si>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</si>
  <si>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</si>
  <si>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</si>
  <si>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</si>
  <si>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</si>
  <si>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</si>
  <si>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</si>
  <si>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</si>
  <si>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</si>
  <si>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</si>
  <si>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</si>
  <si>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01101</t>
  </si>
  <si>
    <t>Câmara Municipal de Manaus</t>
  </si>
  <si>
    <t>CC</t>
  </si>
  <si>
    <t>11101</t>
  </si>
  <si>
    <t>Casa Civil</t>
  </si>
  <si>
    <t>CC-ERB</t>
  </si>
  <si>
    <t>11103</t>
  </si>
  <si>
    <t>GVP</t>
  </si>
  <si>
    <t>12101</t>
  </si>
  <si>
    <t>Gabinete do Vice-Prefeito</t>
  </si>
  <si>
    <t>PGM</t>
  </si>
  <si>
    <t>13101</t>
  </si>
  <si>
    <t>Procuradoria Geral do Municipio</t>
  </si>
  <si>
    <t>SEMAD</t>
  </si>
  <si>
    <t>14101</t>
  </si>
  <si>
    <t>Secretaria Municipal de Administração e Gestão</t>
  </si>
  <si>
    <t>CM</t>
  </si>
  <si>
    <t>15101</t>
  </si>
  <si>
    <t>Casa Militar</t>
  </si>
  <si>
    <t>SEMEF</t>
  </si>
  <si>
    <t>16101</t>
  </si>
  <si>
    <t xml:space="preserve"> Secretaria Municipal de Finanças, Planejamento e Tecnologia da Informação</t>
  </si>
  <si>
    <t>SEMED</t>
  </si>
  <si>
    <t>18101</t>
  </si>
  <si>
    <t>Secretaria Municipal de Educação</t>
  </si>
  <si>
    <t>SEMCOM</t>
  </si>
  <si>
    <t>19101</t>
  </si>
  <si>
    <t>Secretaria Municipal de Comunicação</t>
  </si>
  <si>
    <t>SEMTEPI</t>
  </si>
  <si>
    <t>21101</t>
  </si>
  <si>
    <t>Secretaria Municipal do Trabalho, Empreendedorismo e Inovação</t>
  </si>
  <si>
    <t>CGM</t>
  </si>
  <si>
    <t>22101</t>
  </si>
  <si>
    <t>Controladoria Geral do Municipio</t>
  </si>
  <si>
    <t>UNIDADE ORÇAMENTÁRIA</t>
  </si>
  <si>
    <t>FMS</t>
  </si>
  <si>
    <t>23701</t>
  </si>
  <si>
    <t>Fundo Municipal de Saúde</t>
  </si>
  <si>
    <t>Secretaria Municipal de Segurança Pública e Defesa Social</t>
  </si>
  <si>
    <t>SEMSEG</t>
  </si>
  <si>
    <t>25101</t>
  </si>
  <si>
    <t>SEMJEL</t>
  </si>
  <si>
    <t>26101</t>
  </si>
  <si>
    <t>Secretaria Municipal de Juventude, Esporte e Lazer</t>
  </si>
  <si>
    <t>SEMINF</t>
  </si>
  <si>
    <t>27101</t>
  </si>
  <si>
    <t>Secretaria Municipal de Infraestrutura</t>
  </si>
  <si>
    <t>SEMMAS</t>
  </si>
  <si>
    <t>28101</t>
  </si>
  <si>
    <t>Secretaria de Meio Ambiente e Sustentabilidade</t>
  </si>
  <si>
    <t>SEMASC</t>
  </si>
  <si>
    <t>Secretaria Municipal da Mulher, Assistência Social e Cidadania</t>
  </si>
  <si>
    <t>37101</t>
  </si>
  <si>
    <t>SEMULSP</t>
  </si>
  <si>
    <t>38101</t>
  </si>
  <si>
    <t>Secretaria Municipal de Limpeza Urbana</t>
  </si>
  <si>
    <t>SEMACC</t>
  </si>
  <si>
    <t>41101</t>
  </si>
  <si>
    <t>Secretaria Municipal de Agricultura, Abastecimento, Centro e Comércio Informal</t>
  </si>
  <si>
    <t>SEMHAF</t>
  </si>
  <si>
    <t>44101</t>
  </si>
  <si>
    <t>Secretaria Municipal de Habitação e Assuntos Fundiários</t>
  </si>
  <si>
    <t>FDT</t>
  </si>
  <si>
    <t>52301</t>
  </si>
  <si>
    <t>Fundação Doutor Thomas</t>
  </si>
  <si>
    <t>IMPLURB</t>
  </si>
  <si>
    <t>56201</t>
  </si>
  <si>
    <t>Instituto Municipal de Planejamento Urbano</t>
  </si>
  <si>
    <t>IMMU</t>
  </si>
  <si>
    <t>58201</t>
  </si>
  <si>
    <t>Instituto Municipal de Mobilidade Urbana</t>
  </si>
  <si>
    <t>MANAUSCULT</t>
  </si>
  <si>
    <t>62301</t>
  </si>
  <si>
    <t>Fundação Municipal de Cultura, Turismo e Eventos</t>
  </si>
  <si>
    <t>MANAUSPREV</t>
  </si>
  <si>
    <t>63201</t>
  </si>
  <si>
    <t>Manaus Previdência</t>
  </si>
  <si>
    <t>AGEMAN</t>
  </si>
  <si>
    <t>Agência Reguladora dos Serviços Públicos Delegados do Município de Manaus</t>
  </si>
  <si>
    <t>70201</t>
  </si>
  <si>
    <t>Escritório de Representação em Brasília</t>
  </si>
  <si>
    <t>CENTRO-OESTE</t>
  </si>
  <si>
    <t>3º OFÍCIO</t>
  </si>
  <si>
    <t>DESATIVADO</t>
  </si>
  <si>
    <t>SEMSA</t>
  </si>
  <si>
    <t>23000</t>
  </si>
  <si>
    <t>Secretaria Municipal de Saúde</t>
  </si>
  <si>
    <t>SIGLA UG</t>
  </si>
  <si>
    <t>Em ajuste</t>
  </si>
  <si>
    <t>TIPO DE EDIFICAÇÃO</t>
  </si>
  <si>
    <t>Parqueamento</t>
  </si>
  <si>
    <t>Casa nº 444</t>
  </si>
  <si>
    <t>FINALIDADE*</t>
  </si>
  <si>
    <t>ZONA*</t>
  </si>
  <si>
    <t>SITUAÇÃO*</t>
  </si>
  <si>
    <t>CARTÓRIO*</t>
  </si>
  <si>
    <t>MATRÍCULA*</t>
  </si>
  <si>
    <t>TERRENO 
VALOR (R$)*</t>
  </si>
  <si>
    <t>VALOR TOTAL (R$)*</t>
  </si>
  <si>
    <t>DATA DA REAVALIAÇÃO*</t>
  </si>
  <si>
    <t>DATA AFETAÇÃO*</t>
  </si>
  <si>
    <t>R. Flor Amor Agarradinho (antiga Rua 04), 97 - Bairro da Paz - CEP 69.048-382</t>
  </si>
  <si>
    <t>nrTombamento</t>
  </si>
  <si>
    <t>nrAfetacao</t>
  </si>
  <si>
    <t>diarioAfetacao</t>
  </si>
  <si>
    <t>tpEdificacao</t>
  </si>
  <si>
    <t>endereco</t>
  </si>
  <si>
    <t>leiAfetacao</t>
  </si>
  <si>
    <t>situacaoUso</t>
  </si>
  <si>
    <t>codUnidadeOrcamentaria</t>
  </si>
  <si>
    <t>areaTerreno</t>
  </si>
  <si>
    <t>areaConstruida</t>
  </si>
  <si>
    <t>vlIncorporacao</t>
  </si>
  <si>
    <t>dtEntrada</t>
  </si>
  <si>
    <t>dtUltimoInventario</t>
  </si>
  <si>
    <t>R. Dona Debla Henrique, S/N - Lago Azul - CEP 69.018-100</t>
  </si>
  <si>
    <t>SisTCE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</si>
</sst>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"/>
  <sheetViews>
    <sheetView tabSelected="1" zoomScaleNormal="100" workbookViewId="0">
      <pane ySplit="3" topLeftCell="A4" activePane="bottomLeft" state="frozen"/>
      <selection pane="bottomLeft" activeCell="H20" sqref="H19:H20"/>
    </sheetView>
  </sheetViews>
  <sheetFormatPr defaultRowHeight="12.75" x14ac:dyDescent="0.2"/>
  <cols>
    <col min="1" max="1" width="11.85546875" style="4" bestFit="1" customWidth="1"/>
    <col min="2" max="2" width="71.140625" style="4" customWidth="1"/>
    <col min="3" max="3" width="102.42578125" style="4" bestFit="1" customWidth="1"/>
    <col min="4" max="4" width="14.28515625" style="4" bestFit="1" customWidth="1"/>
    <col min="5" max="5" width="20.140625" style="4" customWidth="1"/>
    <col min="6" max="6" width="9.7109375" style="4" bestFit="1" customWidth="1"/>
    <col min="7" max="7" width="26.140625" style="4" customWidth="1"/>
    <col min="8" max="8" width="21" style="4" bestFit="1" customWidth="1"/>
    <col min="9" max="9" width="14.85546875" style="4" bestFit="1" customWidth="1"/>
    <col min="10" max="11" width="15.7109375" style="4" customWidth="1"/>
    <col min="12" max="12" width="21" style="4" bestFit="1" customWidth="1"/>
    <col min="13" max="13" width="15.7109375" style="4" customWidth="1"/>
    <col min="14" max="14" width="11.85546875" style="4" bestFit="1" customWidth="1"/>
    <col min="15" max="15" width="15.7109375" style="4" customWidth="1"/>
    <col min="16" max="16" width="13.42578125" style="4" customWidth="1"/>
    <col min="17" max="17" width="98.5703125" style="4" bestFit="1" customWidth="1"/>
    <col min="18" max="18" width="20.28515625" style="4" bestFit="1" customWidth="1"/>
    <col min="19" max="19" width="15.7109375" style="4" customWidth="1"/>
    <col min="20" max="20" width="22" style="4" customWidth="1"/>
    <col min="21" max="25" width="15.7109375" style="4" customWidth="1"/>
    <col min="26" max="16384" width="9.140625" style="4"/>
  </cols>
  <sheetData>
    <row r="1" spans="1:26" s="17" customFormat="1" ht="15.75" customHeight="1" thickBot="1" x14ac:dyDescent="0.3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s="26" customFormat="1" ht="15.75" customHeight="1" x14ac:dyDescent="0.2">
      <c r="A2" s="23" t="s">
        <v>157</v>
      </c>
      <c r="B2" s="23" t="s">
        <v>157</v>
      </c>
      <c r="C2" s="25"/>
      <c r="D2" s="25"/>
      <c r="E2" s="25"/>
      <c r="F2" s="25"/>
      <c r="G2" s="25"/>
      <c r="H2" s="25"/>
      <c r="I2" s="25"/>
      <c r="J2" s="25"/>
      <c r="K2" s="22"/>
      <c r="L2" s="25" t="s">
        <v>157</v>
      </c>
      <c r="M2" s="24" t="s">
        <v>143</v>
      </c>
      <c r="N2" s="23" t="s">
        <v>144</v>
      </c>
      <c r="O2" s="23" t="s">
        <v>145</v>
      </c>
      <c r="P2" s="23" t="s">
        <v>146</v>
      </c>
      <c r="Q2" s="23" t="s">
        <v>147</v>
      </c>
      <c r="R2" s="23" t="s">
        <v>148</v>
      </c>
      <c r="S2" s="23" t="s">
        <v>149</v>
      </c>
      <c r="T2" s="23" t="s">
        <v>150</v>
      </c>
      <c r="U2" s="23" t="s">
        <v>151</v>
      </c>
      <c r="V2" s="23" t="s">
        <v>152</v>
      </c>
      <c r="W2" s="23" t="s">
        <v>153</v>
      </c>
      <c r="X2" s="23" t="s">
        <v>154</v>
      </c>
      <c r="Y2" s="23" t="s">
        <v>155</v>
      </c>
    </row>
    <row r="3" spans="1:26" s="2" customFormat="1" ht="25.5" customHeight="1" thickBot="1" x14ac:dyDescent="0.3">
      <c r="A3" s="18" t="s">
        <v>128</v>
      </c>
      <c r="B3" s="19" t="s">
        <v>38</v>
      </c>
      <c r="C3" s="19" t="s">
        <v>133</v>
      </c>
      <c r="D3" s="19" t="s">
        <v>134</v>
      </c>
      <c r="E3" s="19" t="s">
        <v>135</v>
      </c>
      <c r="F3" s="19" t="s">
        <v>136</v>
      </c>
      <c r="G3" s="19" t="s">
        <v>137</v>
      </c>
      <c r="H3" s="19" t="s">
        <v>138</v>
      </c>
      <c r="I3" s="19" t="s">
        <v>139</v>
      </c>
      <c r="J3" s="19" t="s">
        <v>140</v>
      </c>
      <c r="K3" s="19" t="s">
        <v>141</v>
      </c>
      <c r="L3" s="19" t="s">
        <v>3</v>
      </c>
      <c r="M3" s="19" t="s">
        <v>15</v>
      </c>
      <c r="N3" s="19" t="s">
        <v>6</v>
      </c>
      <c r="O3" s="19" t="s">
        <v>7</v>
      </c>
      <c r="P3" s="19" t="s">
        <v>130</v>
      </c>
      <c r="Q3" s="19" t="s">
        <v>0</v>
      </c>
      <c r="R3" s="19" t="s">
        <v>8</v>
      </c>
      <c r="S3" s="19" t="s">
        <v>9</v>
      </c>
      <c r="T3" s="19" t="s">
        <v>75</v>
      </c>
      <c r="U3" s="19" t="s">
        <v>10</v>
      </c>
      <c r="V3" s="19" t="s">
        <v>11</v>
      </c>
      <c r="W3" s="19" t="s">
        <v>5</v>
      </c>
      <c r="X3" s="19" t="s">
        <v>13</v>
      </c>
      <c r="Y3" s="20" t="s">
        <v>12</v>
      </c>
    </row>
    <row r="4" spans="1:26" x14ac:dyDescent="0.2">
      <c r="A4" s="3" t="s">
        <v>54</v>
      </c>
      <c r="B4" s="3" t="str">
        <f>VLOOKUP(A4,Listas!A$3:C$30,3,0)</f>
        <v>Secretaria Municipal de Administração e Gestão</v>
      </c>
      <c r="C4" s="11" t="s">
        <v>131</v>
      </c>
      <c r="D4" s="3" t="s">
        <v>122</v>
      </c>
      <c r="E4" s="3" t="s">
        <v>124</v>
      </c>
      <c r="F4" s="3" t="s">
        <v>123</v>
      </c>
      <c r="G4" s="3">
        <v>603</v>
      </c>
      <c r="H4" s="5"/>
      <c r="I4" s="15">
        <f t="shared" ref="I4:I5" si="0">H4+L4</f>
        <v>0</v>
      </c>
      <c r="J4" s="3"/>
      <c r="K4" s="3" t="s">
        <v>129</v>
      </c>
      <c r="L4" s="5">
        <v>0</v>
      </c>
      <c r="M4" s="9">
        <v>1079</v>
      </c>
      <c r="N4" s="10" t="s">
        <v>129</v>
      </c>
      <c r="O4" s="3" t="s">
        <v>129</v>
      </c>
      <c r="P4" s="3" t="s">
        <v>129</v>
      </c>
      <c r="Q4" s="11" t="s">
        <v>142</v>
      </c>
      <c r="R4" s="3" t="s">
        <v>129</v>
      </c>
      <c r="S4" s="14" t="s">
        <v>129</v>
      </c>
      <c r="T4" s="9" t="str">
        <f>VLOOKUP(A4,Listas!A$3:C$30,2,0)</f>
        <v>14101</v>
      </c>
      <c r="U4" s="3" t="s">
        <v>129</v>
      </c>
      <c r="V4" s="3" t="s">
        <v>129</v>
      </c>
      <c r="W4" s="5" t="s">
        <v>129</v>
      </c>
      <c r="X4" s="3" t="s">
        <v>129</v>
      </c>
      <c r="Y4" s="3" t="s">
        <v>129</v>
      </c>
    </row>
    <row r="5" spans="1:26" x14ac:dyDescent="0.2">
      <c r="A5" s="3" t="s">
        <v>54</v>
      </c>
      <c r="B5" s="3" t="str">
        <f>VLOOKUP(A5,Listas!A$3:C$30,3,0)</f>
        <v>Secretaria Municipal de Administração e Gestão</v>
      </c>
      <c r="C5" s="12" t="s">
        <v>132</v>
      </c>
      <c r="D5" s="13" t="s">
        <v>122</v>
      </c>
      <c r="E5" s="3" t="s">
        <v>124</v>
      </c>
      <c r="F5" s="3"/>
      <c r="G5" s="3"/>
      <c r="H5" s="5"/>
      <c r="I5" s="15">
        <f t="shared" si="0"/>
        <v>0</v>
      </c>
      <c r="J5" s="3"/>
      <c r="K5" s="3" t="s">
        <v>129</v>
      </c>
      <c r="L5" s="5">
        <v>0</v>
      </c>
      <c r="M5" s="9">
        <v>1080</v>
      </c>
      <c r="N5" s="10" t="s">
        <v>129</v>
      </c>
      <c r="O5" s="3" t="s">
        <v>129</v>
      </c>
      <c r="P5" s="3" t="s">
        <v>129</v>
      </c>
      <c r="Q5" s="16" t="s">
        <v>156</v>
      </c>
      <c r="R5" s="3" t="s">
        <v>129</v>
      </c>
      <c r="S5" s="14" t="s">
        <v>129</v>
      </c>
      <c r="T5" s="9" t="str">
        <f>VLOOKUP(A5,Listas!A$3:C$30,2,0)</f>
        <v>14101</v>
      </c>
      <c r="U5" s="3" t="s">
        <v>129</v>
      </c>
      <c r="V5" s="3" t="s">
        <v>129</v>
      </c>
      <c r="W5" s="5" t="s">
        <v>129</v>
      </c>
      <c r="X5" s="3" t="s">
        <v>129</v>
      </c>
      <c r="Y5" s="3" t="s">
        <v>129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Listas!$F$3:$F$10</xm:f>
          </x14:formula1>
          <xm:sqref>S4:S5</xm:sqref>
        </x14:dataValidation>
        <x14:dataValidation type="list" allowBlank="1" showInputMessage="1" showErrorMessage="1">
          <x14:formula1>
            <xm:f>Listas!$D$3:$D$8</xm:f>
          </x14:formula1>
          <xm:sqref>P4:P5</xm:sqref>
        </x14:dataValidation>
        <x14:dataValidation type="list" allowBlank="1" showInputMessage="1" showErrorMessage="1">
          <x14:formula1>
            <xm:f>Listas!$E$3:$E$10</xm:f>
          </x14:formula1>
          <xm:sqref>D4:D5</xm:sqref>
        </x14:dataValidation>
        <x14:dataValidation type="list" allowBlank="1" showInputMessage="1" showErrorMessage="1">
          <x14:formula1>
            <xm:f>Listas!$A$3:$A$30</xm:f>
          </x14:formula1>
          <xm:sqref>A4:A5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8" sqref="C18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4</v>
      </c>
      <c r="B2" s="8" t="s">
        <v>75</v>
      </c>
      <c r="C2" s="8" t="s">
        <v>40</v>
      </c>
      <c r="D2" s="8" t="s">
        <v>16</v>
      </c>
      <c r="E2" s="8" t="s">
        <v>1</v>
      </c>
      <c r="F2" s="8" t="s">
        <v>14</v>
      </c>
      <c r="G2" s="8" t="s">
        <v>2</v>
      </c>
    </row>
    <row r="3" spans="1:7" x14ac:dyDescent="0.25">
      <c r="A3" s="6" t="s">
        <v>118</v>
      </c>
      <c r="B3" s="6" t="s">
        <v>120</v>
      </c>
      <c r="C3" s="6" t="s">
        <v>119</v>
      </c>
      <c r="D3" s="6" t="s">
        <v>18</v>
      </c>
      <c r="E3" s="6" t="s">
        <v>27</v>
      </c>
      <c r="F3" s="6" t="s">
        <v>31</v>
      </c>
      <c r="G3" s="6" t="s">
        <v>33</v>
      </c>
    </row>
    <row r="4" spans="1:7" x14ac:dyDescent="0.25">
      <c r="A4" s="6" t="s">
        <v>43</v>
      </c>
      <c r="B4" s="6" t="s">
        <v>44</v>
      </c>
      <c r="C4" s="6" t="s">
        <v>45</v>
      </c>
      <c r="D4" s="6" t="s">
        <v>17</v>
      </c>
      <c r="E4" s="6" t="s">
        <v>26</v>
      </c>
      <c r="F4" s="6" t="s">
        <v>32</v>
      </c>
      <c r="G4" s="6" t="s">
        <v>34</v>
      </c>
    </row>
    <row r="5" spans="1:7" x14ac:dyDescent="0.25">
      <c r="A5" s="6" t="s">
        <v>46</v>
      </c>
      <c r="B5" s="6" t="s">
        <v>47</v>
      </c>
      <c r="C5" s="6" t="s">
        <v>121</v>
      </c>
      <c r="D5" s="6" t="s">
        <v>19</v>
      </c>
      <c r="E5" s="6" t="s">
        <v>25</v>
      </c>
      <c r="F5" s="6" t="s">
        <v>29</v>
      </c>
      <c r="G5" s="6" t="s">
        <v>35</v>
      </c>
    </row>
    <row r="6" spans="1:7" x14ac:dyDescent="0.25">
      <c r="A6" s="6" t="s">
        <v>72</v>
      </c>
      <c r="B6" s="6" t="s">
        <v>73</v>
      </c>
      <c r="C6" s="6" t="s">
        <v>74</v>
      </c>
      <c r="D6" s="6" t="s">
        <v>129</v>
      </c>
      <c r="E6" s="6" t="s">
        <v>24</v>
      </c>
      <c r="F6" s="6" t="s">
        <v>28</v>
      </c>
      <c r="G6" s="6" t="s">
        <v>36</v>
      </c>
    </row>
    <row r="7" spans="1:7" x14ac:dyDescent="0.25">
      <c r="A7" s="6" t="s">
        <v>57</v>
      </c>
      <c r="B7" s="6" t="s">
        <v>58</v>
      </c>
      <c r="C7" s="6" t="s">
        <v>59</v>
      </c>
      <c r="D7" s="6"/>
      <c r="E7" s="6" t="s">
        <v>22</v>
      </c>
      <c r="F7" s="6" t="s">
        <v>30</v>
      </c>
      <c r="G7" s="6" t="s">
        <v>37</v>
      </c>
    </row>
    <row r="8" spans="1:7" x14ac:dyDescent="0.25">
      <c r="A8" s="6" t="s">
        <v>39</v>
      </c>
      <c r="B8" s="6" t="s">
        <v>41</v>
      </c>
      <c r="C8" s="6" t="s">
        <v>42</v>
      </c>
      <c r="D8" s="6"/>
      <c r="E8" s="6" t="s">
        <v>20</v>
      </c>
      <c r="F8" s="6" t="s">
        <v>129</v>
      </c>
      <c r="G8" s="6" t="s">
        <v>129</v>
      </c>
    </row>
    <row r="9" spans="1:7" x14ac:dyDescent="0.25">
      <c r="A9" s="6" t="s">
        <v>103</v>
      </c>
      <c r="B9" s="6" t="s">
        <v>104</v>
      </c>
      <c r="C9" s="6" t="s">
        <v>105</v>
      </c>
      <c r="D9" s="6"/>
      <c r="E9" s="6" t="s">
        <v>23</v>
      </c>
      <c r="F9" s="6"/>
      <c r="G9" s="6"/>
    </row>
    <row r="10" spans="1:7" x14ac:dyDescent="0.25">
      <c r="A10" s="6" t="s">
        <v>76</v>
      </c>
      <c r="B10" s="6" t="s">
        <v>77</v>
      </c>
      <c r="C10" s="6" t="s">
        <v>78</v>
      </c>
      <c r="D10" s="6"/>
      <c r="E10" s="6" t="s">
        <v>21</v>
      </c>
      <c r="F10" s="6"/>
      <c r="G10" s="6"/>
    </row>
    <row r="11" spans="1:7" x14ac:dyDescent="0.25">
      <c r="A11" s="6" t="s">
        <v>48</v>
      </c>
      <c r="B11" s="6" t="s">
        <v>49</v>
      </c>
      <c r="C11" s="6" t="s">
        <v>50</v>
      </c>
      <c r="D11" s="6"/>
      <c r="E11" s="6"/>
      <c r="F11" s="6"/>
      <c r="G11" s="6"/>
    </row>
    <row r="12" spans="1:7" x14ac:dyDescent="0.25">
      <c r="A12" s="6" t="s">
        <v>109</v>
      </c>
      <c r="B12" s="6" t="s">
        <v>110</v>
      </c>
      <c r="C12" s="6" t="s">
        <v>111</v>
      </c>
      <c r="D12" s="6"/>
      <c r="E12" s="6"/>
      <c r="F12" s="6"/>
      <c r="G12" s="6"/>
    </row>
    <row r="13" spans="1:7" x14ac:dyDescent="0.25">
      <c r="A13" s="6" t="s">
        <v>106</v>
      </c>
      <c r="B13" s="6" t="s">
        <v>107</v>
      </c>
      <c r="C13" s="6" t="s">
        <v>108</v>
      </c>
      <c r="D13" s="6"/>
      <c r="E13" s="6"/>
      <c r="F13" s="6"/>
      <c r="G13" s="6"/>
    </row>
    <row r="14" spans="1:7" x14ac:dyDescent="0.25">
      <c r="A14" s="6" t="s">
        <v>112</v>
      </c>
      <c r="B14" s="6" t="s">
        <v>113</v>
      </c>
      <c r="C14" s="6" t="s">
        <v>114</v>
      </c>
      <c r="D14" s="6"/>
      <c r="E14" s="6"/>
      <c r="F14" s="6"/>
      <c r="G14" s="6"/>
    </row>
    <row r="15" spans="1:7" x14ac:dyDescent="0.25">
      <c r="A15" s="6" t="s">
        <v>115</v>
      </c>
      <c r="B15" s="6" t="s">
        <v>116</v>
      </c>
      <c r="C15" s="6" t="s">
        <v>117</v>
      </c>
      <c r="D15" s="6"/>
      <c r="E15" s="6"/>
      <c r="F15" s="6"/>
      <c r="G15" s="6"/>
    </row>
    <row r="16" spans="1:7" x14ac:dyDescent="0.25">
      <c r="A16" s="6" t="s">
        <v>51</v>
      </c>
      <c r="B16" s="6" t="s">
        <v>52</v>
      </c>
      <c r="C16" s="6" t="s">
        <v>53</v>
      </c>
      <c r="D16" s="6"/>
      <c r="E16" s="6"/>
      <c r="F16" s="6"/>
      <c r="G16" s="6"/>
    </row>
    <row r="17" spans="1:7" x14ac:dyDescent="0.25">
      <c r="A17" s="6" t="s">
        <v>97</v>
      </c>
      <c r="B17" s="6" t="s">
        <v>98</v>
      </c>
      <c r="C17" s="6" t="s">
        <v>99</v>
      </c>
      <c r="D17" s="6"/>
      <c r="E17" s="6"/>
      <c r="F17" s="6"/>
      <c r="G17" s="6"/>
    </row>
    <row r="18" spans="1:7" x14ac:dyDescent="0.25">
      <c r="A18" s="6" t="s">
        <v>54</v>
      </c>
      <c r="B18" s="6" t="s">
        <v>55</v>
      </c>
      <c r="C18" s="6" t="s">
        <v>56</v>
      </c>
      <c r="D18" s="6"/>
      <c r="E18" s="6"/>
      <c r="F18" s="6"/>
      <c r="G18" s="6"/>
    </row>
    <row r="19" spans="1:7" x14ac:dyDescent="0.25">
      <c r="A19" s="6" t="s">
        <v>91</v>
      </c>
      <c r="B19" s="6" t="s">
        <v>93</v>
      </c>
      <c r="C19" s="6" t="s">
        <v>92</v>
      </c>
      <c r="D19" s="6"/>
      <c r="E19" s="6"/>
      <c r="F19" s="6"/>
      <c r="G19" s="6"/>
    </row>
    <row r="20" spans="1:7" x14ac:dyDescent="0.25">
      <c r="A20" s="6" t="s">
        <v>66</v>
      </c>
      <c r="B20" s="6" t="s">
        <v>67</v>
      </c>
      <c r="C20" s="6" t="s">
        <v>68</v>
      </c>
      <c r="D20" s="6"/>
      <c r="E20" s="6"/>
      <c r="F20" s="6"/>
      <c r="G20" s="6"/>
    </row>
    <row r="21" spans="1:7" x14ac:dyDescent="0.25">
      <c r="A21" s="6" t="s">
        <v>63</v>
      </c>
      <c r="B21" s="6" t="s">
        <v>64</v>
      </c>
      <c r="C21" s="6" t="s">
        <v>65</v>
      </c>
      <c r="D21" s="6"/>
      <c r="E21" s="6"/>
      <c r="F21" s="6"/>
      <c r="G21" s="6"/>
    </row>
    <row r="22" spans="1:7" x14ac:dyDescent="0.25">
      <c r="A22" s="6" t="s">
        <v>60</v>
      </c>
      <c r="B22" s="6" t="s">
        <v>61</v>
      </c>
      <c r="C22" s="6" t="s">
        <v>62</v>
      </c>
      <c r="D22" s="6"/>
      <c r="E22" s="6"/>
      <c r="F22" s="6"/>
      <c r="G22" s="6"/>
    </row>
    <row r="23" spans="1:7" x14ac:dyDescent="0.25">
      <c r="A23" s="6" t="s">
        <v>100</v>
      </c>
      <c r="B23" s="6" t="s">
        <v>101</v>
      </c>
      <c r="C23" s="6" t="s">
        <v>102</v>
      </c>
      <c r="D23" s="6"/>
      <c r="E23" s="6"/>
      <c r="F23" s="6"/>
      <c r="G23" s="6"/>
    </row>
    <row r="24" spans="1:7" x14ac:dyDescent="0.25">
      <c r="A24" s="6" t="s">
        <v>85</v>
      </c>
      <c r="B24" s="6" t="s">
        <v>86</v>
      </c>
      <c r="C24" s="6" t="s">
        <v>87</v>
      </c>
      <c r="D24" s="6"/>
      <c r="E24" s="6"/>
      <c r="F24" s="6"/>
      <c r="G24" s="6"/>
    </row>
    <row r="25" spans="1:7" x14ac:dyDescent="0.25">
      <c r="A25" s="6" t="s">
        <v>82</v>
      </c>
      <c r="B25" s="6" t="s">
        <v>83</v>
      </c>
      <c r="C25" s="6" t="s">
        <v>84</v>
      </c>
      <c r="D25" s="6"/>
      <c r="E25" s="6"/>
      <c r="F25" s="6"/>
      <c r="G25" s="6"/>
    </row>
    <row r="26" spans="1:7" x14ac:dyDescent="0.25">
      <c r="A26" s="6" t="s">
        <v>88</v>
      </c>
      <c r="B26" s="6" t="s">
        <v>89</v>
      </c>
      <c r="C26" s="6" t="s">
        <v>90</v>
      </c>
      <c r="D26" s="6"/>
      <c r="E26" s="6"/>
      <c r="F26" s="6"/>
      <c r="G26" s="6"/>
    </row>
    <row r="27" spans="1:7" x14ac:dyDescent="0.25">
      <c r="A27" s="6" t="s">
        <v>125</v>
      </c>
      <c r="B27" s="6" t="s">
        <v>126</v>
      </c>
      <c r="C27" s="6" t="s">
        <v>127</v>
      </c>
      <c r="D27" s="6"/>
      <c r="E27" s="6"/>
      <c r="F27" s="6"/>
      <c r="G27" s="6"/>
    </row>
    <row r="28" spans="1:7" x14ac:dyDescent="0.25">
      <c r="A28" s="6" t="s">
        <v>80</v>
      </c>
      <c r="B28" s="6" t="s">
        <v>81</v>
      </c>
      <c r="C28" s="6" t="s">
        <v>79</v>
      </c>
      <c r="D28" s="6"/>
      <c r="E28" s="6"/>
      <c r="F28" s="6"/>
      <c r="G28" s="6"/>
    </row>
    <row r="29" spans="1:7" x14ac:dyDescent="0.25">
      <c r="A29" s="6" t="s">
        <v>69</v>
      </c>
      <c r="B29" s="6" t="s">
        <v>70</v>
      </c>
      <c r="C29" s="6" t="s">
        <v>71</v>
      </c>
      <c r="D29" s="6"/>
      <c r="E29" s="6"/>
      <c r="F29" s="6"/>
      <c r="G29" s="6"/>
    </row>
    <row r="30" spans="1:7" x14ac:dyDescent="0.25">
      <c r="A30" s="6" t="s">
        <v>94</v>
      </c>
      <c r="B30" s="6" t="s">
        <v>95</v>
      </c>
      <c r="C30" s="6" t="s">
        <v>96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2026-04-28T19:51:08Z</dcterms:modified>
</cp:coreProperties>
</file>