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</calcChain>
</file>

<file path=xl/sharedStrings.xml><?xml version="1.0" encoding="utf-8"?>
<sst xmlns="http://schemas.openxmlformats.org/spreadsheetml/2006/main" count="336" uniqueCount="182">
  <si>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</si>
  <si>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</si>
  <si>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</si>
  <si>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</si>
  <si>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</si>
  <si>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</si>
  <si>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</si>
  <si>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</si>
  <si>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</si>
  <si>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</si>
  <si>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</si>
  <si>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</si>
  <si>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</si>
  <si>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</si>
  <si>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</si>
  <si>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</si>
  <si>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</si>
  <si>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</si>
  <si>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</si>
  <si>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</si>
  <si>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</si>
  <si>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</si>
  <si>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</si>
  <si>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</si>
  <si>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</si>
  <si>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</si>
  <si>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</si>
  <si>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</si>
  <si>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</si>
  <si>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</si>
  <si>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</si>
  <si>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</si>
  <si>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</si>
  <si>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</si>
  <si>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</si>
  <si>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</si>
  <si>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</si>
  <si>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</si>
  <si>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</si>
  <si>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</si>
  <si>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</si>
  <si>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</si>
  <si>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</si>
  <si>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</si>
  <si>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</si>
  <si>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</si>
  <si>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</si>
  <si>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</si>
  <si>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</si>
  <si>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</si>
  <si>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</si>
  <si>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</si>
  <si>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</si>
  <si>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</si>
  <si>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</si>
  <si>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</si>
  <si>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</si>
  <si>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</si>
  <si>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</si>
  <si>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</si>
  <si>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</si>
  <si>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</si>
  <si>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</si>
  <si>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</si>
  <si>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</si>
  <si>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</si>
  <si>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</si>
  <si>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</si>
  <si>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</si>
  <si>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</si>
  <si>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</si>
  <si>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</si>
  <si>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</si>
  <si>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</si>
  <si>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</si>
  <si>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</si>
  <si>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</si>
  <si>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</si>
  <si>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</si>
  <si>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</si>
  <si>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</si>
  <si>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</si>
  <si>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</si>
  <si>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</si>
  <si>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</si>
  <si>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</si>
  <si>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</si>
  <si>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</si>
  <si>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</si>
  <si>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</si>
  <si>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</si>
  <si>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</si>
  <si>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</si>
  <si>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</si>
  <si>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</si>
  <si>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</si>
  <si>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</si>
  <si>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</si>
  <si>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</si>
  <si>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</si>
  <si>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</si>
  <si>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</si>
  <si>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</si>
  <si>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</si>
  <si>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</si>
  <si>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</si>
  <si>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</si>
  <si>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</si>
  <si>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</si>
  <si>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</si>
  <si>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</si>
  <si>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</si>
  <si>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</si>
  <si>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</si>
  <si>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</si>
  <si>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</si>
  <si>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</si>
  <si>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</si>
  <si>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</si>
  <si>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</si>
  <si>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</si>
  <si>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Rua CEL. PEDRO DE SOUZA,S/Nº  - Morro da Liberdade - CEP 69.000-000</t>
  </si>
  <si>
    <t>PÇ Chile,S/Nº  - Adrianópolis - CEP 69.057-280</t>
  </si>
  <si>
    <t>Rua Ramos Ferreira,S/Nº  -  Nossa Senhora Aparecida - CEP 69.010-420</t>
  </si>
  <si>
    <t>Escritório de Representação em Brasília</t>
  </si>
  <si>
    <t>OESTE</t>
  </si>
  <si>
    <t>NORTE</t>
  </si>
  <si>
    <t>SUL</t>
  </si>
  <si>
    <t>LESTE</t>
  </si>
  <si>
    <t>RURAL</t>
  </si>
  <si>
    <t>CENTRO - SUL</t>
  </si>
  <si>
    <t xml:space="preserve">SUL </t>
  </si>
  <si>
    <t>SEMSA</t>
  </si>
  <si>
    <t>23000</t>
  </si>
  <si>
    <t>Secretaria Municipal de Saúde</t>
  </si>
  <si>
    <t>Cemitério Nossa Senhora da Conceição das Lajes</t>
  </si>
  <si>
    <t>Cemitério Nossa Senhora da Piedade</t>
  </si>
  <si>
    <t>Cemitério Nossa Senhora do Carmo</t>
  </si>
  <si>
    <t>Cemitério Santa Helena</t>
  </si>
  <si>
    <t>Cemitério Santa Joana do Puraquequara</t>
  </si>
  <si>
    <t>Cemitério Santo Alberto</t>
  </si>
  <si>
    <t>Cemitério São Francisco</t>
  </si>
  <si>
    <t>Cemitério São João Batista</t>
  </si>
  <si>
    <t>Cemitério São José do Jatuarana</t>
  </si>
  <si>
    <t>Garaginha</t>
  </si>
  <si>
    <t>Núcleo Operacional de Limpeza - Colônia Antônio Aleixo</t>
  </si>
  <si>
    <t>Sede SEMULSP (Secretaria Municipal de Limpeza Urbana)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</si>
  <si>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</si>
  <si>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</si>
  <si>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</si>
  <si>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</si>
  <si>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</si>
  <si>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</si>
  <si>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</si>
  <si>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</si>
  <si>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</si>
  <si>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</si>
  <si>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</si>
  <si>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</si>
  <si>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Getúlio Vargas,S/Nº - Colônia Antônio Aleixo - CEP 69.008-000</t>
  </si>
  <si>
    <t>Rio Negro,S/Nº  - Colônia Antônio Aleixo - CEP 69.000-000</t>
  </si>
  <si>
    <t>Rd. AM-10,Km 05 - Santa Etelvina - CEP 69.000-000</t>
  </si>
  <si>
    <t>Rio Amazonas,S/Nº - Paraná da Eva - Área Ribeirinha - CEP 69.000-999 - Rio Amazonas</t>
  </si>
  <si>
    <t>Rua Coração de Jesus,215 - São Raimundo - CEP 69.000-000</t>
  </si>
  <si>
    <t>Lago Puraquequara,S/Nº  - Puraquequara - CEP 69.000-000</t>
  </si>
  <si>
    <t>Rua MONTEIRO LOBATO,S/Nº  - Colônia Antônio Aleixo - CEP 69.008-210</t>
  </si>
  <si>
    <t>Costa do Jatuarana,S/Nº  - Costa do Jatuarana - Área Ribeirinha - CEP 69.000-999 - Rio Amazonas</t>
  </si>
  <si>
    <t>Av. Brasil,1335 - Compensa - CEP 69.036-110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</si>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</sst>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zoomScaleNormal="100" workbookViewId="0">
      <pane ySplit="3" topLeftCell="A4" activePane="bottomLeft" state="frozen"/>
      <selection pane="bottomLeft" activeCell="B25" sqref="B24:B25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181</v>
      </c>
      <c r="B2" s="19" t="s">
        <v>181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181</v>
      </c>
      <c r="M2" s="20" t="s">
        <v>168</v>
      </c>
      <c r="N2" s="19" t="s">
        <v>169</v>
      </c>
      <c r="O2" s="19" t="s">
        <v>170</v>
      </c>
      <c r="P2" s="19" t="s">
        <v>171</v>
      </c>
      <c r="Q2" s="19" t="s">
        <v>172</v>
      </c>
      <c r="R2" s="19" t="s">
        <v>173</v>
      </c>
      <c r="S2" s="19" t="s">
        <v>174</v>
      </c>
      <c r="T2" s="19" t="s">
        <v>175</v>
      </c>
      <c r="U2" s="19" t="s">
        <v>176</v>
      </c>
      <c r="V2" s="19" t="s">
        <v>177</v>
      </c>
      <c r="W2" s="19" t="s">
        <v>178</v>
      </c>
      <c r="X2" s="19" t="s">
        <v>179</v>
      </c>
      <c r="Y2" s="19" t="s">
        <v>180</v>
      </c>
    </row>
    <row r="3" spans="1:26" s="2" customFormat="1" ht="25.5" customHeight="1" thickBot="1" x14ac:dyDescent="0.3">
      <c r="A3" s="14" t="s">
        <v>147</v>
      </c>
      <c r="B3" s="15" t="s">
        <v>38</v>
      </c>
      <c r="C3" s="15" t="s">
        <v>150</v>
      </c>
      <c r="D3" s="15" t="s">
        <v>151</v>
      </c>
      <c r="E3" s="15" t="s">
        <v>152</v>
      </c>
      <c r="F3" s="15" t="s">
        <v>153</v>
      </c>
      <c r="G3" s="15" t="s">
        <v>154</v>
      </c>
      <c r="H3" s="15" t="s">
        <v>155</v>
      </c>
      <c r="I3" s="15" t="s">
        <v>156</v>
      </c>
      <c r="J3" s="15" t="s">
        <v>157</v>
      </c>
      <c r="K3" s="15" t="s">
        <v>158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149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94</v>
      </c>
      <c r="B4" s="3" t="str">
        <f>VLOOKUP(A4,Listas!A$3:C$30,3,0)</f>
        <v>Secretaria Municipal de Limpeza Urbana</v>
      </c>
      <c r="C4" s="11" t="s">
        <v>135</v>
      </c>
      <c r="D4" s="3" t="s">
        <v>128</v>
      </c>
      <c r="E4" s="3"/>
      <c r="F4" s="3"/>
      <c r="G4" s="3"/>
      <c r="H4" s="5"/>
      <c r="I4" s="5">
        <f t="shared" ref="I4:I7" si="0">H4+L4</f>
        <v>0</v>
      </c>
      <c r="J4" s="3"/>
      <c r="K4" s="3" t="s">
        <v>148</v>
      </c>
      <c r="L4" s="5">
        <v>0</v>
      </c>
      <c r="M4" s="9">
        <v>1046</v>
      </c>
      <c r="N4" s="10" t="s">
        <v>148</v>
      </c>
      <c r="O4" s="3" t="s">
        <v>148</v>
      </c>
      <c r="P4" s="3" t="s">
        <v>148</v>
      </c>
      <c r="Q4" s="11" t="s">
        <v>160</v>
      </c>
      <c r="R4" s="3" t="s">
        <v>148</v>
      </c>
      <c r="S4" s="12" t="s">
        <v>148</v>
      </c>
      <c r="T4" s="9" t="str">
        <f>VLOOKUP(A4,Listas!A$3:C$30,2,0)</f>
        <v>38101</v>
      </c>
      <c r="U4" s="3" t="s">
        <v>148</v>
      </c>
      <c r="V4" s="3" t="s">
        <v>148</v>
      </c>
      <c r="W4" s="5" t="s">
        <v>148</v>
      </c>
      <c r="X4" s="3" t="s">
        <v>148</v>
      </c>
      <c r="Y4" s="3" t="s">
        <v>148</v>
      </c>
    </row>
    <row r="5" spans="1:26" x14ac:dyDescent="0.2">
      <c r="A5" s="3" t="s">
        <v>94</v>
      </c>
      <c r="B5" s="3" t="str">
        <f>VLOOKUP(A5,Listas!A$3:C$30,3,0)</f>
        <v>Secretaria Municipal de Limpeza Urbana</v>
      </c>
      <c r="C5" s="11" t="s">
        <v>136</v>
      </c>
      <c r="D5" s="3" t="s">
        <v>126</v>
      </c>
      <c r="E5" s="3"/>
      <c r="F5" s="3"/>
      <c r="G5" s="3"/>
      <c r="H5" s="5"/>
      <c r="I5" s="5">
        <f t="shared" si="0"/>
        <v>0</v>
      </c>
      <c r="J5" s="3"/>
      <c r="K5" s="3" t="s">
        <v>148</v>
      </c>
      <c r="L5" s="5">
        <v>0</v>
      </c>
      <c r="M5" s="9">
        <v>1047</v>
      </c>
      <c r="N5" s="10" t="s">
        <v>148</v>
      </c>
      <c r="O5" s="3" t="s">
        <v>148</v>
      </c>
      <c r="P5" s="3" t="s">
        <v>148</v>
      </c>
      <c r="Q5" s="11" t="s">
        <v>161</v>
      </c>
      <c r="R5" s="3" t="s">
        <v>148</v>
      </c>
      <c r="S5" s="12" t="s">
        <v>148</v>
      </c>
      <c r="T5" s="9" t="str">
        <f>VLOOKUP(A5,Listas!A$3:C$30,2,0)</f>
        <v>38101</v>
      </c>
      <c r="U5" s="3" t="s">
        <v>148</v>
      </c>
      <c r="V5" s="3" t="s">
        <v>148</v>
      </c>
      <c r="W5" s="5" t="s">
        <v>148</v>
      </c>
      <c r="X5" s="3" t="s">
        <v>148</v>
      </c>
      <c r="Y5" s="3" t="s">
        <v>148</v>
      </c>
    </row>
    <row r="6" spans="1:26" x14ac:dyDescent="0.2">
      <c r="A6" s="3" t="s">
        <v>94</v>
      </c>
      <c r="B6" s="3" t="str">
        <f>VLOOKUP(A6,Listas!A$3:C$30,3,0)</f>
        <v>Secretaria Municipal de Limpeza Urbana</v>
      </c>
      <c r="C6" s="11" t="s">
        <v>137</v>
      </c>
      <c r="D6" s="3" t="s">
        <v>129</v>
      </c>
      <c r="E6" s="3"/>
      <c r="F6" s="3"/>
      <c r="G6" s="3"/>
      <c r="H6" s="5"/>
      <c r="I6" s="5">
        <f t="shared" si="0"/>
        <v>0</v>
      </c>
      <c r="J6" s="3"/>
      <c r="K6" s="3" t="s">
        <v>148</v>
      </c>
      <c r="L6" s="5">
        <v>0</v>
      </c>
      <c r="M6" s="9">
        <v>1048</v>
      </c>
      <c r="N6" s="10" t="s">
        <v>148</v>
      </c>
      <c r="O6" s="3" t="s">
        <v>148</v>
      </c>
      <c r="P6" s="3" t="s">
        <v>148</v>
      </c>
      <c r="Q6" s="11" t="s">
        <v>162</v>
      </c>
      <c r="R6" s="3" t="s">
        <v>148</v>
      </c>
      <c r="S6" s="12" t="s">
        <v>148</v>
      </c>
      <c r="T6" s="9" t="str">
        <f>VLOOKUP(A6,Listas!A$3:C$30,2,0)</f>
        <v>38101</v>
      </c>
      <c r="U6" s="3" t="s">
        <v>148</v>
      </c>
      <c r="V6" s="3" t="s">
        <v>148</v>
      </c>
      <c r="W6" s="5" t="s">
        <v>148</v>
      </c>
      <c r="X6" s="3" t="s">
        <v>148</v>
      </c>
      <c r="Y6" s="3" t="s">
        <v>148</v>
      </c>
    </row>
    <row r="7" spans="1:26" x14ac:dyDescent="0.2">
      <c r="A7" s="3" t="s">
        <v>94</v>
      </c>
      <c r="B7" s="3" t="str">
        <f>VLOOKUP(A7,Listas!A$3:C$30,3,0)</f>
        <v>Secretaria Municipal de Limpeza Urbana</v>
      </c>
      <c r="C7" s="11" t="s">
        <v>138</v>
      </c>
      <c r="D7" s="3" t="s">
        <v>125</v>
      </c>
      <c r="E7" s="3"/>
      <c r="F7" s="3"/>
      <c r="G7" s="3"/>
      <c r="H7" s="5"/>
      <c r="I7" s="5">
        <f t="shared" si="0"/>
        <v>0</v>
      </c>
      <c r="J7" s="3"/>
      <c r="K7" s="3" t="s">
        <v>148</v>
      </c>
      <c r="L7" s="5">
        <v>0</v>
      </c>
      <c r="M7" s="9">
        <v>1049</v>
      </c>
      <c r="N7" s="10" t="s">
        <v>148</v>
      </c>
      <c r="O7" s="3" t="s">
        <v>148</v>
      </c>
      <c r="P7" s="3" t="s">
        <v>148</v>
      </c>
      <c r="Q7" s="11" t="s">
        <v>163</v>
      </c>
      <c r="R7" s="3" t="s">
        <v>148</v>
      </c>
      <c r="S7" s="12" t="s">
        <v>148</v>
      </c>
      <c r="T7" s="9" t="str">
        <f>VLOOKUP(A7,Listas!A$3:C$30,2,0)</f>
        <v>38101</v>
      </c>
      <c r="U7" s="3" t="s">
        <v>148</v>
      </c>
      <c r="V7" s="3" t="s">
        <v>148</v>
      </c>
      <c r="W7" s="5" t="s">
        <v>148</v>
      </c>
      <c r="X7" s="3" t="s">
        <v>148</v>
      </c>
      <c r="Y7" s="3" t="s">
        <v>148</v>
      </c>
    </row>
    <row r="8" spans="1:26" x14ac:dyDescent="0.2">
      <c r="A8" s="3" t="s">
        <v>94</v>
      </c>
      <c r="B8" s="3" t="str">
        <f>VLOOKUP(A8,Listas!A$3:C$30,3,0)</f>
        <v>Secretaria Municipal de Limpeza Urbana</v>
      </c>
      <c r="C8" s="11" t="s">
        <v>139</v>
      </c>
      <c r="D8" s="3" t="s">
        <v>128</v>
      </c>
      <c r="E8" s="3"/>
      <c r="F8" s="3"/>
      <c r="G8" s="3"/>
      <c r="H8" s="5"/>
      <c r="I8" s="5">
        <f t="shared" ref="I8:I15" si="1">H8+L8</f>
        <v>0</v>
      </c>
      <c r="J8" s="3"/>
      <c r="K8" s="3" t="s">
        <v>148</v>
      </c>
      <c r="L8" s="5">
        <v>0</v>
      </c>
      <c r="M8" s="9">
        <v>1050</v>
      </c>
      <c r="N8" s="10" t="s">
        <v>148</v>
      </c>
      <c r="O8" s="3" t="s">
        <v>148</v>
      </c>
      <c r="P8" s="3" t="s">
        <v>148</v>
      </c>
      <c r="Q8" s="11" t="s">
        <v>164</v>
      </c>
      <c r="R8" s="3" t="s">
        <v>148</v>
      </c>
      <c r="S8" s="12" t="s">
        <v>148</v>
      </c>
      <c r="T8" s="9" t="str">
        <f>VLOOKUP(A8,Listas!A$3:C$30,2,0)</f>
        <v>38101</v>
      </c>
      <c r="U8" s="3" t="s">
        <v>148</v>
      </c>
      <c r="V8" s="3" t="s">
        <v>148</v>
      </c>
      <c r="W8" s="5" t="s">
        <v>148</v>
      </c>
      <c r="X8" s="3" t="s">
        <v>148</v>
      </c>
      <c r="Y8" s="3" t="s">
        <v>148</v>
      </c>
    </row>
    <row r="9" spans="1:26" x14ac:dyDescent="0.2">
      <c r="A9" s="3" t="s">
        <v>94</v>
      </c>
      <c r="B9" s="3" t="str">
        <f>VLOOKUP(A9,Listas!A$3:C$30,3,0)</f>
        <v>Secretaria Municipal de Limpeza Urbana</v>
      </c>
      <c r="C9" s="11" t="s">
        <v>140</v>
      </c>
      <c r="D9" s="3" t="s">
        <v>128</v>
      </c>
      <c r="E9" s="3"/>
      <c r="F9" s="3"/>
      <c r="G9" s="3"/>
      <c r="H9" s="5"/>
      <c r="I9" s="5">
        <f t="shared" si="1"/>
        <v>0</v>
      </c>
      <c r="J9" s="3"/>
      <c r="K9" s="3" t="s">
        <v>148</v>
      </c>
      <c r="L9" s="5">
        <v>0</v>
      </c>
      <c r="M9" s="9">
        <v>1051</v>
      </c>
      <c r="N9" s="10" t="s">
        <v>148</v>
      </c>
      <c r="O9" s="3" t="s">
        <v>148</v>
      </c>
      <c r="P9" s="3" t="s">
        <v>148</v>
      </c>
      <c r="Q9" s="11" t="s">
        <v>165</v>
      </c>
      <c r="R9" s="3" t="s">
        <v>148</v>
      </c>
      <c r="S9" s="12" t="s">
        <v>148</v>
      </c>
      <c r="T9" s="9" t="str">
        <f>VLOOKUP(A9,Listas!A$3:C$30,2,0)</f>
        <v>38101</v>
      </c>
      <c r="U9" s="3" t="s">
        <v>148</v>
      </c>
      <c r="V9" s="3" t="s">
        <v>148</v>
      </c>
      <c r="W9" s="5" t="s">
        <v>148</v>
      </c>
      <c r="X9" s="3" t="s">
        <v>148</v>
      </c>
      <c r="Y9" s="3" t="s">
        <v>148</v>
      </c>
    </row>
    <row r="10" spans="1:26" x14ac:dyDescent="0.2">
      <c r="A10" s="3" t="s">
        <v>94</v>
      </c>
      <c r="B10" s="3" t="str">
        <f>VLOOKUP(A10,Listas!A$3:C$30,3,0)</f>
        <v>Secretaria Municipal de Limpeza Urbana</v>
      </c>
      <c r="C10" s="11" t="s">
        <v>141</v>
      </c>
      <c r="D10" s="3" t="s">
        <v>127</v>
      </c>
      <c r="E10" s="3"/>
      <c r="F10" s="3"/>
      <c r="G10" s="3"/>
      <c r="H10" s="5"/>
      <c r="I10" s="5">
        <f t="shared" si="1"/>
        <v>0</v>
      </c>
      <c r="J10" s="3"/>
      <c r="K10" s="3" t="s">
        <v>148</v>
      </c>
      <c r="L10" s="5">
        <v>0</v>
      </c>
      <c r="M10" s="9">
        <v>1052</v>
      </c>
      <c r="N10" s="10" t="s">
        <v>148</v>
      </c>
      <c r="O10" s="3" t="s">
        <v>148</v>
      </c>
      <c r="P10" s="3" t="s">
        <v>148</v>
      </c>
      <c r="Q10" s="11" t="s">
        <v>121</v>
      </c>
      <c r="R10" s="3" t="s">
        <v>148</v>
      </c>
      <c r="S10" s="12" t="s">
        <v>148</v>
      </c>
      <c r="T10" s="9" t="str">
        <f>VLOOKUP(A10,Listas!A$3:C$30,2,0)</f>
        <v>38101</v>
      </c>
      <c r="U10" s="3" t="s">
        <v>148</v>
      </c>
      <c r="V10" s="3" t="s">
        <v>148</v>
      </c>
      <c r="W10" s="5" t="s">
        <v>148</v>
      </c>
      <c r="X10" s="3" t="s">
        <v>148</v>
      </c>
      <c r="Y10" s="3" t="s">
        <v>148</v>
      </c>
    </row>
    <row r="11" spans="1:26" x14ac:dyDescent="0.2">
      <c r="A11" s="3" t="s">
        <v>94</v>
      </c>
      <c r="B11" s="3" t="str">
        <f>VLOOKUP(A11,Listas!A$3:C$30,3,0)</f>
        <v>Secretaria Municipal de Limpeza Urbana</v>
      </c>
      <c r="C11" s="11" t="s">
        <v>142</v>
      </c>
      <c r="D11" s="3" t="s">
        <v>130</v>
      </c>
      <c r="E11" s="3"/>
      <c r="F11" s="3"/>
      <c r="G11" s="3"/>
      <c r="H11" s="5"/>
      <c r="I11" s="5">
        <f t="shared" si="1"/>
        <v>0</v>
      </c>
      <c r="J11" s="3"/>
      <c r="K11" s="3" t="s">
        <v>148</v>
      </c>
      <c r="L11" s="5">
        <v>0</v>
      </c>
      <c r="M11" s="9">
        <v>1053</v>
      </c>
      <c r="N11" s="10" t="s">
        <v>148</v>
      </c>
      <c r="O11" s="3" t="s">
        <v>148</v>
      </c>
      <c r="P11" s="3" t="s">
        <v>148</v>
      </c>
      <c r="Q11" s="11" t="s">
        <v>122</v>
      </c>
      <c r="R11" s="3" t="s">
        <v>148</v>
      </c>
      <c r="S11" s="12" t="s">
        <v>148</v>
      </c>
      <c r="T11" s="9" t="str">
        <f>VLOOKUP(A11,Listas!A$3:C$30,2,0)</f>
        <v>38101</v>
      </c>
      <c r="U11" s="3" t="s">
        <v>148</v>
      </c>
      <c r="V11" s="3" t="s">
        <v>148</v>
      </c>
      <c r="W11" s="5" t="s">
        <v>148</v>
      </c>
      <c r="X11" s="3" t="s">
        <v>148</v>
      </c>
      <c r="Y11" s="3" t="s">
        <v>148</v>
      </c>
    </row>
    <row r="12" spans="1:26" x14ac:dyDescent="0.2">
      <c r="A12" s="3" t="s">
        <v>94</v>
      </c>
      <c r="B12" s="3" t="str">
        <f>VLOOKUP(A12,Listas!A$3:C$30,3,0)</f>
        <v>Secretaria Municipal de Limpeza Urbana</v>
      </c>
      <c r="C12" s="11" t="s">
        <v>143</v>
      </c>
      <c r="D12" s="3" t="s">
        <v>129</v>
      </c>
      <c r="E12" s="3"/>
      <c r="F12" s="3"/>
      <c r="G12" s="3"/>
      <c r="H12" s="5"/>
      <c r="I12" s="5">
        <f t="shared" si="1"/>
        <v>0</v>
      </c>
      <c r="J12" s="3"/>
      <c r="K12" s="3" t="s">
        <v>148</v>
      </c>
      <c r="L12" s="5">
        <v>0</v>
      </c>
      <c r="M12" s="9">
        <v>1054</v>
      </c>
      <c r="N12" s="10" t="s">
        <v>148</v>
      </c>
      <c r="O12" s="3" t="s">
        <v>148</v>
      </c>
      <c r="P12" s="3" t="s">
        <v>148</v>
      </c>
      <c r="Q12" s="11" t="s">
        <v>166</v>
      </c>
      <c r="R12" s="3" t="s">
        <v>148</v>
      </c>
      <c r="S12" s="12" t="s">
        <v>148</v>
      </c>
      <c r="T12" s="9" t="str">
        <f>VLOOKUP(A12,Listas!A$3:C$30,2,0)</f>
        <v>38101</v>
      </c>
      <c r="U12" s="3" t="s">
        <v>148</v>
      </c>
      <c r="V12" s="3" t="s">
        <v>148</v>
      </c>
      <c r="W12" s="5" t="s">
        <v>148</v>
      </c>
      <c r="X12" s="3" t="s">
        <v>148</v>
      </c>
      <c r="Y12" s="3" t="s">
        <v>148</v>
      </c>
    </row>
    <row r="13" spans="1:26" x14ac:dyDescent="0.2">
      <c r="A13" s="3" t="s">
        <v>94</v>
      </c>
      <c r="B13" s="3" t="str">
        <f>VLOOKUP(A13,Listas!A$3:C$30,3,0)</f>
        <v>Secretaria Municipal de Limpeza Urbana</v>
      </c>
      <c r="C13" s="11" t="s">
        <v>144</v>
      </c>
      <c r="D13" s="3" t="s">
        <v>131</v>
      </c>
      <c r="E13" s="3"/>
      <c r="F13" s="3"/>
      <c r="G13" s="3"/>
      <c r="H13" s="5"/>
      <c r="I13" s="5">
        <f t="shared" si="1"/>
        <v>0</v>
      </c>
      <c r="J13" s="3"/>
      <c r="K13" s="3" t="s">
        <v>148</v>
      </c>
      <c r="L13" s="5">
        <v>0</v>
      </c>
      <c r="M13" s="9">
        <v>1055</v>
      </c>
      <c r="N13" s="10" t="s">
        <v>148</v>
      </c>
      <c r="O13" s="3" t="s">
        <v>148</v>
      </c>
      <c r="P13" s="3" t="s">
        <v>148</v>
      </c>
      <c r="Q13" s="11" t="s">
        <v>123</v>
      </c>
      <c r="R13" s="3" t="s">
        <v>148</v>
      </c>
      <c r="S13" s="12" t="s">
        <v>148</v>
      </c>
      <c r="T13" s="9" t="str">
        <f>VLOOKUP(A13,Listas!A$3:C$30,2,0)</f>
        <v>38101</v>
      </c>
      <c r="U13" s="3" t="s">
        <v>148</v>
      </c>
      <c r="V13" s="3" t="s">
        <v>148</v>
      </c>
      <c r="W13" s="5" t="s">
        <v>148</v>
      </c>
      <c r="X13" s="3" t="s">
        <v>148</v>
      </c>
      <c r="Y13" s="3" t="s">
        <v>148</v>
      </c>
    </row>
    <row r="14" spans="1:26" x14ac:dyDescent="0.2">
      <c r="A14" s="3" t="s">
        <v>94</v>
      </c>
      <c r="B14" s="3" t="str">
        <f>VLOOKUP(A14,Listas!A$3:C$30,3,0)</f>
        <v>Secretaria Municipal de Limpeza Urbana</v>
      </c>
      <c r="C14" s="11" t="s">
        <v>145</v>
      </c>
      <c r="D14" s="3" t="s">
        <v>128</v>
      </c>
      <c r="E14" s="3"/>
      <c r="F14" s="3"/>
      <c r="G14" s="3"/>
      <c r="H14" s="5"/>
      <c r="I14" s="5">
        <f t="shared" si="1"/>
        <v>0</v>
      </c>
      <c r="J14" s="3"/>
      <c r="K14" s="3" t="s">
        <v>148</v>
      </c>
      <c r="L14" s="5">
        <v>0</v>
      </c>
      <c r="M14" s="9">
        <v>1056</v>
      </c>
      <c r="N14" s="10" t="s">
        <v>148</v>
      </c>
      <c r="O14" s="3" t="s">
        <v>148</v>
      </c>
      <c r="P14" s="3" t="s">
        <v>148</v>
      </c>
      <c r="Q14" s="11" t="s">
        <v>159</v>
      </c>
      <c r="R14" s="3" t="s">
        <v>148</v>
      </c>
      <c r="S14" s="12" t="s">
        <v>148</v>
      </c>
      <c r="T14" s="9" t="str">
        <f>VLOOKUP(A14,Listas!A$3:C$30,2,0)</f>
        <v>38101</v>
      </c>
      <c r="U14" s="3" t="s">
        <v>148</v>
      </c>
      <c r="V14" s="3" t="s">
        <v>148</v>
      </c>
      <c r="W14" s="5" t="s">
        <v>148</v>
      </c>
      <c r="X14" s="3" t="s">
        <v>148</v>
      </c>
      <c r="Y14" s="3" t="s">
        <v>148</v>
      </c>
    </row>
    <row r="15" spans="1:26" x14ac:dyDescent="0.2">
      <c r="A15" s="3" t="s">
        <v>94</v>
      </c>
      <c r="B15" s="3" t="str">
        <f>VLOOKUP(A15,Listas!A$3:C$30,3,0)</f>
        <v>Secretaria Municipal de Limpeza Urbana</v>
      </c>
      <c r="C15" s="11" t="s">
        <v>146</v>
      </c>
      <c r="D15" s="3" t="s">
        <v>125</v>
      </c>
      <c r="E15" s="3"/>
      <c r="F15" s="3"/>
      <c r="G15" s="3"/>
      <c r="H15" s="5"/>
      <c r="I15" s="5">
        <f t="shared" si="1"/>
        <v>0</v>
      </c>
      <c r="J15" s="3"/>
      <c r="K15" s="3" t="s">
        <v>148</v>
      </c>
      <c r="L15" s="5">
        <v>0</v>
      </c>
      <c r="M15" s="9">
        <v>1057</v>
      </c>
      <c r="N15" s="10" t="s">
        <v>148</v>
      </c>
      <c r="O15" s="3" t="s">
        <v>148</v>
      </c>
      <c r="P15" s="3" t="s">
        <v>148</v>
      </c>
      <c r="Q15" s="11" t="s">
        <v>167</v>
      </c>
      <c r="R15" s="3" t="s">
        <v>148</v>
      </c>
      <c r="S15" s="12" t="s">
        <v>148</v>
      </c>
      <c r="T15" s="9" t="str">
        <f>VLOOKUP(A15,Listas!A$3:C$30,2,0)</f>
        <v>38101</v>
      </c>
      <c r="U15" s="3" t="s">
        <v>148</v>
      </c>
      <c r="V15" s="3" t="s">
        <v>148</v>
      </c>
      <c r="W15" s="5" t="s">
        <v>148</v>
      </c>
      <c r="X15" s="3" t="s">
        <v>148</v>
      </c>
      <c r="Y15" s="3" t="s">
        <v>148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S4:S15</xm:sqref>
        </x14:dataValidation>
        <x14:dataValidation type="list" allowBlank="1" showInputMessage="1" showErrorMessage="1">
          <x14:formula1>
            <xm:f>Listas!$D$3:$D$8</xm:f>
          </x14:formula1>
          <xm:sqref>P4:P15</xm:sqref>
        </x14:dataValidation>
        <x14:dataValidation type="list" allowBlank="1" showInputMessage="1" showErrorMessage="1">
          <x14:formula1>
            <xm:f>Listas!$E$3:$E$10</xm:f>
          </x14:formula1>
          <xm:sqref>D4:D15</xm:sqref>
        </x14:dataValidation>
        <x14:dataValidation type="list" allowBlank="1" showInputMessage="1" showErrorMessage="1">
          <x14:formula1>
            <xm:f>Listas!$A$3:$A$30</xm:f>
          </x14:formula1>
          <xm:sqref>A4:A15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124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148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148</v>
      </c>
      <c r="G8" s="6" t="s">
        <v>148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132</v>
      </c>
      <c r="B27" s="6" t="s">
        <v>133</v>
      </c>
      <c r="C27" s="6" t="s">
        <v>134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2026-04-28T19:46:57Z</dcterms:modified>
</cp:coreProperties>
</file>