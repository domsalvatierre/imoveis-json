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69330727204\Documents\DPAT\imoveis\TCE\TCE\"/>
    </mc:Choice>
  </mc:AlternateContent>
  <bookViews>
    <workbookView xWindow="0" yWindow="0" windowWidth="28800" windowHeight="12300"/>
  </bookViews>
  <sheets>
    <sheet name="Bens Imóveis" sheetId="1" r:id="rId1"/>
    <sheet name="Listas" sheetId="2" r:id="rId2"/>
  </sheets>
  <definedNames>
    <definedName name="_xlnm._FilterDatabase" localSheetId="0" hidden="1">'Bens Imóveis'!$B$2:$Q$14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4" i="1" l="1"/>
  <c r="A5" i="1"/>
  <c r="A6" i="1" s="1"/>
  <c r="A7" i="1" s="1"/>
  <c r="A8" i="1" s="1"/>
  <c r="A9" i="1" s="1"/>
  <c r="A10" i="1" s="1"/>
  <c r="A11" i="1" s="1"/>
  <c r="A12" i="1" s="1"/>
  <c r="A13" i="1" s="1"/>
  <c r="A4" i="1"/>
  <c r="C3" i="1" l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</calcChain>
</file>

<file path=xl/sharedStrings.xml><?xml version="1.0" encoding="utf-8"?>
<sst xmlns="http://schemas.openxmlformats.org/spreadsheetml/2006/main" count="289" uniqueCount="142">
  <si>
    <t>ENDEREÇO</t>
  </si>
  <si>
    <t>ZONA</t>
  </si>
  <si>
    <t>CARTÓRIO</t>
  </si>
  <si>
    <t xml:space="preserve">EDIFICAÇÃO 
VALOR (R$) </t>
  </si>
  <si>
    <t>UG</t>
  </si>
  <si>
    <t>VALOR INICIAL DO BEM (R$)</t>
  </si>
  <si>
    <t>Nº AFETAÇÃO</t>
  </si>
  <si>
    <t>DOM AFETAÇÃO</t>
  </si>
  <si>
    <t>LEI DE AFETAÇÃO</t>
  </si>
  <si>
    <t>SITUAÇÃO DE USO</t>
  </si>
  <si>
    <t>ÁREA DO TERRENO (m²)</t>
  </si>
  <si>
    <t>ÁREA CONSTRUIDA (m²)</t>
  </si>
  <si>
    <t>DATA DO ÚLTIMO INVENTÁRIO</t>
  </si>
  <si>
    <t>DATA DE ENTRADA / INCORPORAÇÃO</t>
  </si>
  <si>
    <t>SITUAÇÃO USO</t>
  </si>
  <si>
    <t>Nº TOMBAMENTO</t>
  </si>
  <si>
    <t>TIPO EDIFICAÇÃO</t>
  </si>
  <si>
    <t>Prédio</t>
  </si>
  <si>
    <t>Casa</t>
  </si>
  <si>
    <t>Terreno</t>
  </si>
  <si>
    <t>Norte</t>
  </si>
  <si>
    <t>Sul</t>
  </si>
  <si>
    <t>Leste</t>
  </si>
  <si>
    <t>Oeste</t>
  </si>
  <si>
    <t>Centro-Sul</t>
  </si>
  <si>
    <t>Centro-Oeste</t>
  </si>
  <si>
    <t>Área Rural</t>
  </si>
  <si>
    <t>Área Ribeirinha</t>
  </si>
  <si>
    <t>Ocupado</t>
  </si>
  <si>
    <t>Ocioso</t>
  </si>
  <si>
    <t>Subutilizado</t>
  </si>
  <si>
    <t>Cedido</t>
  </si>
  <si>
    <t>Compartilhado</t>
  </si>
  <si>
    <t>1º Ofício</t>
  </si>
  <si>
    <t>2º Ofício</t>
  </si>
  <si>
    <t>3º Ofício</t>
  </si>
  <si>
    <t>4º Ofício</t>
  </si>
  <si>
    <t>5º Ofício</t>
  </si>
  <si>
    <t>UG - UNIDADE GESTORA</t>
  </si>
  <si>
    <t>CMM</t>
  </si>
  <si>
    <t>SECRETARIA</t>
  </si>
  <si>
    <t>01101</t>
  </si>
  <si>
    <t>Câmara Municipal de Manaus</t>
  </si>
  <si>
    <t>CC</t>
  </si>
  <si>
    <t>11101</t>
  </si>
  <si>
    <t>Casa Civil</t>
  </si>
  <si>
    <t>CC-ERB</t>
  </si>
  <si>
    <t>11103</t>
  </si>
  <si>
    <t>GVP</t>
  </si>
  <si>
    <t>12101</t>
  </si>
  <si>
    <t>Gabinete do Vice-Prefeito</t>
  </si>
  <si>
    <t>PGM</t>
  </si>
  <si>
    <t>13101</t>
  </si>
  <si>
    <t>Procuradoria Geral do Municipio</t>
  </si>
  <si>
    <t>SEMAD</t>
  </si>
  <si>
    <t>14101</t>
  </si>
  <si>
    <t>Secretaria Municipal de Administração e Gestão</t>
  </si>
  <si>
    <t>CM</t>
  </si>
  <si>
    <t>15101</t>
  </si>
  <si>
    <t>Casa Militar</t>
  </si>
  <si>
    <t>SEMEF</t>
  </si>
  <si>
    <t>16101</t>
  </si>
  <si>
    <t xml:space="preserve"> Secretaria Municipal de Finanças, Planejamento e Tecnologia da Informação</t>
  </si>
  <si>
    <t>SEMED</t>
  </si>
  <si>
    <t>18101</t>
  </si>
  <si>
    <t>Secretaria Municipal de Educação</t>
  </si>
  <si>
    <t>SEMCOM</t>
  </si>
  <si>
    <t>19101</t>
  </si>
  <si>
    <t>Secretaria Municipal de Comunicação</t>
  </si>
  <si>
    <t>SEMTEPI</t>
  </si>
  <si>
    <t>21101</t>
  </si>
  <si>
    <t>Secretaria Municipal do Trabalho, Empreendedorismo e Inovação</t>
  </si>
  <si>
    <t>CGM</t>
  </si>
  <si>
    <t>22101</t>
  </si>
  <si>
    <t>Controladoria Geral do Municipio</t>
  </si>
  <si>
    <t>UNIDADE ORÇAMENTÁRIA</t>
  </si>
  <si>
    <t>FMS</t>
  </si>
  <si>
    <t>23701</t>
  </si>
  <si>
    <t>Fundo Municipal de Saúde</t>
  </si>
  <si>
    <t>Secretaria Municipal de Segurança Pública e Defesa Social</t>
  </si>
  <si>
    <t>SEMSEG</t>
  </si>
  <si>
    <t>25101</t>
  </si>
  <si>
    <t>SEMJEL</t>
  </si>
  <si>
    <t>26101</t>
  </si>
  <si>
    <t>Secretaria Municipal de Juventude, Esporte e Lazer</t>
  </si>
  <si>
    <t>SEMINF</t>
  </si>
  <si>
    <t>27101</t>
  </si>
  <si>
    <t>Secretaria Municipal de Infraestrutura</t>
  </si>
  <si>
    <t>SEMMAS</t>
  </si>
  <si>
    <t>28101</t>
  </si>
  <si>
    <t>Secretaria de Meio Ambiente e Sustentabilidade</t>
  </si>
  <si>
    <t>SEMASC</t>
  </si>
  <si>
    <t>Secretaria Municipal da Mulher, Assistência Social e Cidadania</t>
  </si>
  <si>
    <t>37101</t>
  </si>
  <si>
    <t>SEMULSP</t>
  </si>
  <si>
    <t>38101</t>
  </si>
  <si>
    <t>Secretaria Municipal de Limpeza Urbana</t>
  </si>
  <si>
    <t>SEMACC</t>
  </si>
  <si>
    <t>41101</t>
  </si>
  <si>
    <t>Secretaria Municipal de Agricultura, Abastecimento, Centro e Comércio Informal</t>
  </si>
  <si>
    <t>SEMHAF</t>
  </si>
  <si>
    <t>44101</t>
  </si>
  <si>
    <t>Secretaria Municipal de Habitação e Assuntos Fundiários</t>
  </si>
  <si>
    <t>FDT</t>
  </si>
  <si>
    <t>52301</t>
  </si>
  <si>
    <t>Fundação Doutor Thomas</t>
  </si>
  <si>
    <t>IMPLURB</t>
  </si>
  <si>
    <t>56201</t>
  </si>
  <si>
    <t>Instituto Municipal de Planejamento Urbano</t>
  </si>
  <si>
    <t>IMMU</t>
  </si>
  <si>
    <t>58201</t>
  </si>
  <si>
    <t>Instituto Municipal de Mobilidade Urbana</t>
  </si>
  <si>
    <t>MANAUSCULT</t>
  </si>
  <si>
    <t>62301</t>
  </si>
  <si>
    <t>Fundação Municipal de Cultura, Turismo e Eventos</t>
  </si>
  <si>
    <t>MANAUSPREV</t>
  </si>
  <si>
    <t>63201</t>
  </si>
  <si>
    <t>Manaus Previdência</t>
  </si>
  <si>
    <t>AGEMAN</t>
  </si>
  <si>
    <t>Agência Reguladora dos Serviços Públicos Delegados do Município de Manaus</t>
  </si>
  <si>
    <t>70201</t>
  </si>
  <si>
    <t>Rio Amazonas,S/Nº - Paraná da Eva - Área Ribeirinha - CEP 69.000-999 - Rio Amazonas - AM</t>
  </si>
  <si>
    <t xml:space="preserve">Av. Getúlio Vargas,S/Nº - Colônia Antônio Aleixo - CEP 69.008-000 </t>
  </si>
  <si>
    <t xml:space="preserve">Rio Negro,S/Nº  - Colônia Antônio Aleixo - CEP 69.000-000 </t>
  </si>
  <si>
    <t xml:space="preserve">Rd. AM-10,Km 05 - Santa Etelvina - CEP 69.000-000 </t>
  </si>
  <si>
    <t xml:space="preserve">Rua Coração de Jesus,215 - São Raimundo - CEP 69.000-000 </t>
  </si>
  <si>
    <t xml:space="preserve">Lago Puraquequara,S/Nº  - Puraquequara - CEP 69.000-000 </t>
  </si>
  <si>
    <t xml:space="preserve">Rua MONTEIRO LOBATO,S/Nº  - Colônia Antônio Aleixo - CEP 69.008-210 </t>
  </si>
  <si>
    <t>Rua CEL. PEDRO DE SOUZA,S/Nº  - Morro da Liberdade - CEP 69.000-000</t>
  </si>
  <si>
    <t>PÇ Chile,S/Nº  - Adrianópolis - CEP 69.057-280</t>
  </si>
  <si>
    <t>Costa do Jatuarana,S/Nº  - Costa do Jatuarana - Área Ribeirinha - CEP 69.000-999 - Rio Amazonas - AM</t>
  </si>
  <si>
    <t>Rua Ramos Ferreira,S/Nº  -  Nossa Senhora Aparecida - CEP 69.010-420</t>
  </si>
  <si>
    <t xml:space="preserve">Av. Brasil,1335 - Compensa - CEP 69.036-110 </t>
  </si>
  <si>
    <t>Escritório de Representação em Brasília</t>
  </si>
  <si>
    <t>SEMSA</t>
  </si>
  <si>
    <t>23000</t>
  </si>
  <si>
    <t>Secretaria Municipal de Saúde</t>
  </si>
  <si>
    <t>SIGLA UG</t>
  </si>
  <si>
    <t>BENS IMÓVEIS - PMM</t>
  </si>
  <si>
    <t>Em ajuste</t>
  </si>
  <si>
    <t>TIPO DE EDIFICAÇÃO</t>
  </si>
  <si>
    <t>Nº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</si>
</sst>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164" fontId="3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tabSelected="1" zoomScale="115" zoomScaleNormal="115" workbookViewId="0">
      <pane ySplit="2" topLeftCell="A3" activePane="bottomLeft" state="frozen"/>
      <selection pane="bottomLeft" activeCell="B20" sqref="B20"/>
    </sheetView>
  </sheetViews>
  <sheetFormatPr defaultRowHeight="12.75" x14ac:dyDescent="0.2"/>
  <cols>
    <col min="1" max="1" width="5" style="4" bestFit="1" customWidth="1"/>
    <col min="2" max="2" width="11.85546875" style="4" bestFit="1" customWidth="1"/>
    <col min="3" max="3" width="71.140625" style="4" customWidth="1"/>
    <col min="4" max="4" width="13.85546875" style="4" bestFit="1" customWidth="1"/>
    <col min="5" max="5" width="99" style="4" bestFit="1" customWidth="1"/>
    <col min="6" max="6" width="13.42578125" style="4" customWidth="1"/>
    <col min="7" max="7" width="15.7109375" style="4" customWidth="1"/>
    <col min="8" max="8" width="15.42578125" style="4" bestFit="1" customWidth="1"/>
    <col min="9" max="9" width="14.85546875" style="4" bestFit="1" customWidth="1"/>
    <col min="10" max="10" width="15.7109375" style="4" customWidth="1"/>
    <col min="11" max="11" width="11.85546875" style="4" bestFit="1" customWidth="1"/>
    <col min="12" max="12" width="15.7109375" style="4" customWidth="1"/>
    <col min="13" max="13" width="20.28515625" style="4" bestFit="1" customWidth="1"/>
    <col min="14" max="17" width="15.7109375" style="4" customWidth="1"/>
    <col min="18" max="16384" width="9.140625" style="4"/>
  </cols>
  <sheetData>
    <row r="1" spans="1:17" ht="15.75" customHeight="1" thickBot="1" x14ac:dyDescent="0.25">
      <c r="A1" s="16" t="s">
        <v>138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 s="2" customFormat="1" ht="25.5" customHeight="1" thickBot="1" x14ac:dyDescent="0.3">
      <c r="A2" s="9" t="s">
        <v>141</v>
      </c>
      <c r="B2" s="14" t="s">
        <v>137</v>
      </c>
      <c r="C2" s="10" t="s">
        <v>38</v>
      </c>
      <c r="D2" s="10" t="s">
        <v>75</v>
      </c>
      <c r="E2" s="10" t="s">
        <v>0</v>
      </c>
      <c r="F2" s="10" t="s">
        <v>140</v>
      </c>
      <c r="G2" s="10" t="s">
        <v>9</v>
      </c>
      <c r="H2" s="10" t="s">
        <v>5</v>
      </c>
      <c r="I2" s="10" t="s">
        <v>3</v>
      </c>
      <c r="J2" s="10" t="s">
        <v>15</v>
      </c>
      <c r="K2" s="10" t="s">
        <v>6</v>
      </c>
      <c r="L2" s="10" t="s">
        <v>7</v>
      </c>
      <c r="M2" s="10" t="s">
        <v>8</v>
      </c>
      <c r="N2" s="10" t="s">
        <v>10</v>
      </c>
      <c r="O2" s="10" t="s">
        <v>11</v>
      </c>
      <c r="P2" s="10" t="s">
        <v>13</v>
      </c>
      <c r="Q2" s="11" t="s">
        <v>12</v>
      </c>
    </row>
    <row r="3" spans="1:17" x14ac:dyDescent="0.2">
      <c r="A3" s="15">
        <v>1</v>
      </c>
      <c r="B3" s="3" t="s">
        <v>94</v>
      </c>
      <c r="C3" s="3" t="str">
        <f>VLOOKUP(B3,Listas!A$3:C$30,3,0)</f>
        <v>Secretaria Municipal de Limpeza Urbana</v>
      </c>
      <c r="D3" s="3" t="str">
        <f>VLOOKUP(B3,Listas!A$3:C$30,2,0)</f>
        <v>38101</v>
      </c>
      <c r="E3" s="13" t="s">
        <v>123</v>
      </c>
      <c r="F3" s="3" t="s">
        <v>139</v>
      </c>
      <c r="G3" s="3" t="s">
        <v>139</v>
      </c>
      <c r="H3" s="5" t="s">
        <v>139</v>
      </c>
      <c r="I3" s="5"/>
      <c r="J3" s="3" t="s">
        <v>139</v>
      </c>
      <c r="K3" s="12" t="s">
        <v>139</v>
      </c>
      <c r="L3" s="3" t="s">
        <v>139</v>
      </c>
      <c r="M3" s="3" t="s">
        <v>139</v>
      </c>
      <c r="N3" s="3" t="s">
        <v>139</v>
      </c>
      <c r="O3" s="3" t="s">
        <v>139</v>
      </c>
      <c r="P3" s="3" t="s">
        <v>139</v>
      </c>
      <c r="Q3" s="3" t="s">
        <v>139</v>
      </c>
    </row>
    <row r="4" spans="1:17" x14ac:dyDescent="0.2">
      <c r="A4" s="15">
        <f>A3+1</f>
        <v>2</v>
      </c>
      <c r="B4" s="3" t="s">
        <v>94</v>
      </c>
      <c r="C4" s="3" t="str">
        <f>VLOOKUP(B4,Listas!A$3:C$30,3,0)</f>
        <v>Secretaria Municipal de Limpeza Urbana</v>
      </c>
      <c r="D4" s="3" t="str">
        <f>VLOOKUP(B4,Listas!A$3:C$30,2,0)</f>
        <v>38101</v>
      </c>
      <c r="E4" s="13" t="s">
        <v>124</v>
      </c>
      <c r="F4" s="3" t="s">
        <v>139</v>
      </c>
      <c r="G4" s="3" t="s">
        <v>139</v>
      </c>
      <c r="H4" s="5" t="s">
        <v>139</v>
      </c>
      <c r="I4" s="5"/>
      <c r="J4" s="3" t="s">
        <v>139</v>
      </c>
      <c r="K4" s="12" t="s">
        <v>139</v>
      </c>
      <c r="L4" s="3" t="s">
        <v>139</v>
      </c>
      <c r="M4" s="3" t="s">
        <v>139</v>
      </c>
      <c r="N4" s="3" t="s">
        <v>139</v>
      </c>
      <c r="O4" s="3" t="s">
        <v>139</v>
      </c>
      <c r="P4" s="3" t="s">
        <v>139</v>
      </c>
      <c r="Q4" s="3" t="s">
        <v>139</v>
      </c>
    </row>
    <row r="5" spans="1:17" x14ac:dyDescent="0.2">
      <c r="A5" s="15">
        <f t="shared" ref="A5:A13" si="0">A4+1</f>
        <v>3</v>
      </c>
      <c r="B5" s="3" t="s">
        <v>94</v>
      </c>
      <c r="C5" s="3" t="str">
        <f>VLOOKUP(B5,Listas!A$3:C$30,3,0)</f>
        <v>Secretaria Municipal de Limpeza Urbana</v>
      </c>
      <c r="D5" s="3" t="str">
        <f>VLOOKUP(B5,Listas!A$3:C$30,2,0)</f>
        <v>38101</v>
      </c>
      <c r="E5" s="13" t="s">
        <v>121</v>
      </c>
      <c r="F5" s="3" t="s">
        <v>139</v>
      </c>
      <c r="G5" s="3" t="s">
        <v>139</v>
      </c>
      <c r="H5" s="5" t="s">
        <v>139</v>
      </c>
      <c r="I5" s="5"/>
      <c r="J5" s="3" t="s">
        <v>139</v>
      </c>
      <c r="K5" s="12" t="s">
        <v>139</v>
      </c>
      <c r="L5" s="3" t="s">
        <v>139</v>
      </c>
      <c r="M5" s="3" t="s">
        <v>139</v>
      </c>
      <c r="N5" s="3" t="s">
        <v>139</v>
      </c>
      <c r="O5" s="3" t="s">
        <v>139</v>
      </c>
      <c r="P5" s="3" t="s">
        <v>139</v>
      </c>
      <c r="Q5" s="3" t="s">
        <v>139</v>
      </c>
    </row>
    <row r="6" spans="1:17" x14ac:dyDescent="0.2">
      <c r="A6" s="15">
        <f t="shared" si="0"/>
        <v>4</v>
      </c>
      <c r="B6" s="3" t="s">
        <v>94</v>
      </c>
      <c r="C6" s="3" t="str">
        <f>VLOOKUP(B6,Listas!A$3:C$30,3,0)</f>
        <v>Secretaria Municipal de Limpeza Urbana</v>
      </c>
      <c r="D6" s="3" t="str">
        <f>VLOOKUP(B6,Listas!A$3:C$30,2,0)</f>
        <v>38101</v>
      </c>
      <c r="E6" s="13" t="s">
        <v>125</v>
      </c>
      <c r="F6" s="3" t="s">
        <v>139</v>
      </c>
      <c r="G6" s="3" t="s">
        <v>139</v>
      </c>
      <c r="H6" s="5" t="s">
        <v>139</v>
      </c>
      <c r="I6" s="5"/>
      <c r="J6" s="3" t="s">
        <v>139</v>
      </c>
      <c r="K6" s="12" t="s">
        <v>139</v>
      </c>
      <c r="L6" s="3" t="s">
        <v>139</v>
      </c>
      <c r="M6" s="3" t="s">
        <v>139</v>
      </c>
      <c r="N6" s="3" t="s">
        <v>139</v>
      </c>
      <c r="O6" s="3" t="s">
        <v>139</v>
      </c>
      <c r="P6" s="3" t="s">
        <v>139</v>
      </c>
      <c r="Q6" s="3" t="s">
        <v>139</v>
      </c>
    </row>
    <row r="7" spans="1:17" x14ac:dyDescent="0.2">
      <c r="A7" s="15">
        <f t="shared" si="0"/>
        <v>5</v>
      </c>
      <c r="B7" s="3" t="s">
        <v>94</v>
      </c>
      <c r="C7" s="3" t="str">
        <f>VLOOKUP(B7,Listas!A$3:C$30,3,0)</f>
        <v>Secretaria Municipal de Limpeza Urbana</v>
      </c>
      <c r="D7" s="3" t="str">
        <f>VLOOKUP(B7,Listas!A$3:C$30,2,0)</f>
        <v>38101</v>
      </c>
      <c r="E7" s="13" t="s">
        <v>126</v>
      </c>
      <c r="F7" s="3" t="s">
        <v>139</v>
      </c>
      <c r="G7" s="3" t="s">
        <v>139</v>
      </c>
      <c r="H7" s="5" t="s">
        <v>139</v>
      </c>
      <c r="I7" s="5"/>
      <c r="J7" s="3" t="s">
        <v>139</v>
      </c>
      <c r="K7" s="12" t="s">
        <v>139</v>
      </c>
      <c r="L7" s="3" t="s">
        <v>139</v>
      </c>
      <c r="M7" s="3" t="s">
        <v>139</v>
      </c>
      <c r="N7" s="3" t="s">
        <v>139</v>
      </c>
      <c r="O7" s="3" t="s">
        <v>139</v>
      </c>
      <c r="P7" s="3" t="s">
        <v>139</v>
      </c>
      <c r="Q7" s="3" t="s">
        <v>139</v>
      </c>
    </row>
    <row r="8" spans="1:17" x14ac:dyDescent="0.2">
      <c r="A8" s="15">
        <f t="shared" si="0"/>
        <v>6</v>
      </c>
      <c r="B8" s="3" t="s">
        <v>94</v>
      </c>
      <c r="C8" s="3" t="str">
        <f>VLOOKUP(B8,Listas!A$3:C$30,3,0)</f>
        <v>Secretaria Municipal de Limpeza Urbana</v>
      </c>
      <c r="D8" s="3" t="str">
        <f>VLOOKUP(B8,Listas!A$3:C$30,2,0)</f>
        <v>38101</v>
      </c>
      <c r="E8" s="13" t="s">
        <v>127</v>
      </c>
      <c r="F8" s="3" t="s">
        <v>139</v>
      </c>
      <c r="G8" s="3" t="s">
        <v>139</v>
      </c>
      <c r="H8" s="5" t="s">
        <v>139</v>
      </c>
      <c r="I8" s="5"/>
      <c r="J8" s="3" t="s">
        <v>139</v>
      </c>
      <c r="K8" s="12" t="s">
        <v>139</v>
      </c>
      <c r="L8" s="3" t="s">
        <v>139</v>
      </c>
      <c r="M8" s="3" t="s">
        <v>139</v>
      </c>
      <c r="N8" s="3" t="s">
        <v>139</v>
      </c>
      <c r="O8" s="3" t="s">
        <v>139</v>
      </c>
      <c r="P8" s="3" t="s">
        <v>139</v>
      </c>
      <c r="Q8" s="3" t="s">
        <v>139</v>
      </c>
    </row>
    <row r="9" spans="1:17" x14ac:dyDescent="0.2">
      <c r="A9" s="15">
        <f t="shared" si="0"/>
        <v>7</v>
      </c>
      <c r="B9" s="3" t="s">
        <v>94</v>
      </c>
      <c r="C9" s="3" t="str">
        <f>VLOOKUP(B9,Listas!A$3:C$30,3,0)</f>
        <v>Secretaria Municipal de Limpeza Urbana</v>
      </c>
      <c r="D9" s="3" t="str">
        <f>VLOOKUP(B9,Listas!A$3:C$30,2,0)</f>
        <v>38101</v>
      </c>
      <c r="E9" s="13" t="s">
        <v>128</v>
      </c>
      <c r="F9" s="3" t="s">
        <v>139</v>
      </c>
      <c r="G9" s="3" t="s">
        <v>139</v>
      </c>
      <c r="H9" s="5" t="s">
        <v>139</v>
      </c>
      <c r="I9" s="5"/>
      <c r="J9" s="3" t="s">
        <v>139</v>
      </c>
      <c r="K9" s="12" t="s">
        <v>139</v>
      </c>
      <c r="L9" s="3" t="s">
        <v>139</v>
      </c>
      <c r="M9" s="3" t="s">
        <v>139</v>
      </c>
      <c r="N9" s="3" t="s">
        <v>139</v>
      </c>
      <c r="O9" s="3" t="s">
        <v>139</v>
      </c>
      <c r="P9" s="3" t="s">
        <v>139</v>
      </c>
      <c r="Q9" s="3" t="s">
        <v>139</v>
      </c>
    </row>
    <row r="10" spans="1:17" x14ac:dyDescent="0.2">
      <c r="A10" s="15">
        <f t="shared" si="0"/>
        <v>8</v>
      </c>
      <c r="B10" s="3" t="s">
        <v>94</v>
      </c>
      <c r="C10" s="3" t="str">
        <f>VLOOKUP(B10,Listas!A$3:C$30,3,0)</f>
        <v>Secretaria Municipal de Limpeza Urbana</v>
      </c>
      <c r="D10" s="3" t="str">
        <f>VLOOKUP(B10,Listas!A$3:C$30,2,0)</f>
        <v>38101</v>
      </c>
      <c r="E10" s="13" t="s">
        <v>129</v>
      </c>
      <c r="F10" s="3" t="s">
        <v>139</v>
      </c>
      <c r="G10" s="3" t="s">
        <v>139</v>
      </c>
      <c r="H10" s="5" t="s">
        <v>139</v>
      </c>
      <c r="I10" s="5"/>
      <c r="J10" s="3" t="s">
        <v>139</v>
      </c>
      <c r="K10" s="12" t="s">
        <v>139</v>
      </c>
      <c r="L10" s="3" t="s">
        <v>139</v>
      </c>
      <c r="M10" s="3" t="s">
        <v>139</v>
      </c>
      <c r="N10" s="3" t="s">
        <v>139</v>
      </c>
      <c r="O10" s="3" t="s">
        <v>139</v>
      </c>
      <c r="P10" s="3" t="s">
        <v>139</v>
      </c>
      <c r="Q10" s="3" t="s">
        <v>139</v>
      </c>
    </row>
    <row r="11" spans="1:17" x14ac:dyDescent="0.2">
      <c r="A11" s="15">
        <f t="shared" si="0"/>
        <v>9</v>
      </c>
      <c r="B11" s="3" t="s">
        <v>94</v>
      </c>
      <c r="C11" s="3" t="str">
        <f>VLOOKUP(B11,Listas!A$3:C$30,3,0)</f>
        <v>Secretaria Municipal de Limpeza Urbana</v>
      </c>
      <c r="D11" s="3" t="str">
        <f>VLOOKUP(B11,Listas!A$3:C$30,2,0)</f>
        <v>38101</v>
      </c>
      <c r="E11" s="13" t="s">
        <v>130</v>
      </c>
      <c r="F11" s="3" t="s">
        <v>139</v>
      </c>
      <c r="G11" s="3" t="s">
        <v>139</v>
      </c>
      <c r="H11" s="5" t="s">
        <v>139</v>
      </c>
      <c r="I11" s="5"/>
      <c r="J11" s="3" t="s">
        <v>139</v>
      </c>
      <c r="K11" s="12" t="s">
        <v>139</v>
      </c>
      <c r="L11" s="3" t="s">
        <v>139</v>
      </c>
      <c r="M11" s="3" t="s">
        <v>139</v>
      </c>
      <c r="N11" s="3" t="s">
        <v>139</v>
      </c>
      <c r="O11" s="3" t="s">
        <v>139</v>
      </c>
      <c r="P11" s="3" t="s">
        <v>139</v>
      </c>
      <c r="Q11" s="3" t="s">
        <v>139</v>
      </c>
    </row>
    <row r="12" spans="1:17" x14ac:dyDescent="0.2">
      <c r="A12" s="15">
        <f t="shared" si="0"/>
        <v>10</v>
      </c>
      <c r="B12" s="3" t="s">
        <v>94</v>
      </c>
      <c r="C12" s="3" t="str">
        <f>VLOOKUP(B12,Listas!A$3:C$30,3,0)</f>
        <v>Secretaria Municipal de Limpeza Urbana</v>
      </c>
      <c r="D12" s="3" t="str">
        <f>VLOOKUP(B12,Listas!A$3:C$30,2,0)</f>
        <v>38101</v>
      </c>
      <c r="E12" s="13" t="s">
        <v>131</v>
      </c>
      <c r="F12" s="3" t="s">
        <v>139</v>
      </c>
      <c r="G12" s="3" t="s">
        <v>139</v>
      </c>
      <c r="H12" s="5" t="s">
        <v>139</v>
      </c>
      <c r="I12" s="5"/>
      <c r="J12" s="3" t="s">
        <v>139</v>
      </c>
      <c r="K12" s="12" t="s">
        <v>139</v>
      </c>
      <c r="L12" s="3" t="s">
        <v>139</v>
      </c>
      <c r="M12" s="3" t="s">
        <v>139</v>
      </c>
      <c r="N12" s="3" t="s">
        <v>139</v>
      </c>
      <c r="O12" s="3" t="s">
        <v>139</v>
      </c>
      <c r="P12" s="3" t="s">
        <v>139</v>
      </c>
      <c r="Q12" s="3" t="s">
        <v>139</v>
      </c>
    </row>
    <row r="13" spans="1:17" x14ac:dyDescent="0.2">
      <c r="A13" s="15">
        <f t="shared" si="0"/>
        <v>11</v>
      </c>
      <c r="B13" s="3" t="s">
        <v>94</v>
      </c>
      <c r="C13" s="3" t="str">
        <f>VLOOKUP(B13,Listas!A$3:C$30,3,0)</f>
        <v>Secretaria Municipal de Limpeza Urbana</v>
      </c>
      <c r="D13" s="3" t="str">
        <f>VLOOKUP(B13,Listas!A$3:C$30,2,0)</f>
        <v>38101</v>
      </c>
      <c r="E13" s="13" t="s">
        <v>122</v>
      </c>
      <c r="F13" s="3" t="s">
        <v>139</v>
      </c>
      <c r="G13" s="3" t="s">
        <v>139</v>
      </c>
      <c r="H13" s="5" t="s">
        <v>139</v>
      </c>
      <c r="I13" s="5"/>
      <c r="J13" s="3" t="s">
        <v>139</v>
      </c>
      <c r="K13" s="12" t="s">
        <v>139</v>
      </c>
      <c r="L13" s="3" t="s">
        <v>139</v>
      </c>
      <c r="M13" s="3" t="s">
        <v>139</v>
      </c>
      <c r="N13" s="3" t="s">
        <v>139</v>
      </c>
      <c r="O13" s="3" t="s">
        <v>139</v>
      </c>
      <c r="P13" s="3" t="s">
        <v>139</v>
      </c>
      <c r="Q13" s="3" t="s">
        <v>139</v>
      </c>
    </row>
    <row r="14" spans="1:17" x14ac:dyDescent="0.2">
      <c r="A14" s="15">
        <f>A13+1</f>
        <v>12</v>
      </c>
      <c r="B14" s="3" t="s">
        <v>94</v>
      </c>
      <c r="C14" s="3" t="str">
        <f>VLOOKUP(B14,Listas!A$3:C$30,3,0)</f>
        <v>Secretaria Municipal de Limpeza Urbana</v>
      </c>
      <c r="D14" s="3" t="str">
        <f>VLOOKUP(B14,Listas!A$3:C$30,2,0)</f>
        <v>38101</v>
      </c>
      <c r="E14" s="13" t="s">
        <v>132</v>
      </c>
      <c r="F14" s="3" t="s">
        <v>139</v>
      </c>
      <c r="G14" s="3" t="s">
        <v>139</v>
      </c>
      <c r="H14" s="5" t="s">
        <v>139</v>
      </c>
      <c r="I14" s="5"/>
      <c r="J14" s="3" t="s">
        <v>139</v>
      </c>
      <c r="K14" s="12" t="s">
        <v>139</v>
      </c>
      <c r="L14" s="3" t="s">
        <v>139</v>
      </c>
      <c r="M14" s="3" t="s">
        <v>139</v>
      </c>
      <c r="N14" s="3" t="s">
        <v>139</v>
      </c>
      <c r="O14" s="3" t="s">
        <v>139</v>
      </c>
      <c r="P14" s="3" t="s">
        <v>139</v>
      </c>
      <c r="Q14" s="3" t="s">
        <v>139</v>
      </c>
    </row>
  </sheetData>
  <mergeCells count="1">
    <mergeCell ref="A1:Q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Listas!$F$3:$F$10</xm:f>
          </x14:formula1>
          <xm:sqref>G3:G14</xm:sqref>
        </x14:dataValidation>
        <x14:dataValidation type="list" allowBlank="1" showInputMessage="1" showErrorMessage="1">
          <x14:formula1>
            <xm:f>Listas!$D$3:$D$8</xm:f>
          </x14:formula1>
          <xm:sqref>F3:F14</xm:sqref>
        </x14:dataValidation>
        <x14:dataValidation type="list" allowBlank="1" showInputMessage="1" showErrorMessage="1">
          <x14:formula1>
            <xm:f>Listas!$A$3:$A$30</xm:f>
          </x14:formula1>
          <xm:sqref>B3:B14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4"/>
  <sheetViews>
    <sheetView workbookViewId="0">
      <selection activeCell="C18" sqref="C18"/>
    </sheetView>
  </sheetViews>
  <sheetFormatPr defaultRowHeight="15" x14ac:dyDescent="0.25"/>
  <cols>
    <col min="1" max="1" width="17.85546875" customWidth="1"/>
    <col min="2" max="2" width="15.7109375" customWidth="1"/>
    <col min="3" max="3" width="73.85546875" bestFit="1" customWidth="1"/>
    <col min="4" max="10" width="15.7109375" customWidth="1"/>
  </cols>
  <sheetData>
    <row r="2" spans="1:7" s="1" customFormat="1" ht="36.75" customHeight="1" x14ac:dyDescent="0.25">
      <c r="A2" s="8" t="s">
        <v>4</v>
      </c>
      <c r="B2" s="8" t="s">
        <v>75</v>
      </c>
      <c r="C2" s="8" t="s">
        <v>40</v>
      </c>
      <c r="D2" s="8" t="s">
        <v>16</v>
      </c>
      <c r="E2" s="8" t="s">
        <v>1</v>
      </c>
      <c r="F2" s="8" t="s">
        <v>14</v>
      </c>
      <c r="G2" s="8" t="s">
        <v>2</v>
      </c>
    </row>
    <row r="3" spans="1:7" x14ac:dyDescent="0.25">
      <c r="A3" s="6" t="s">
        <v>118</v>
      </c>
      <c r="B3" s="6" t="s">
        <v>120</v>
      </c>
      <c r="C3" s="6" t="s">
        <v>119</v>
      </c>
      <c r="D3" s="6" t="s">
        <v>18</v>
      </c>
      <c r="E3" s="6" t="s">
        <v>27</v>
      </c>
      <c r="F3" s="6" t="s">
        <v>31</v>
      </c>
      <c r="G3" s="6" t="s">
        <v>33</v>
      </c>
    </row>
    <row r="4" spans="1:7" x14ac:dyDescent="0.25">
      <c r="A4" s="6" t="s">
        <v>43</v>
      </c>
      <c r="B4" s="6" t="s">
        <v>44</v>
      </c>
      <c r="C4" s="6" t="s">
        <v>45</v>
      </c>
      <c r="D4" s="6" t="s">
        <v>17</v>
      </c>
      <c r="E4" s="6" t="s">
        <v>26</v>
      </c>
      <c r="F4" s="6" t="s">
        <v>32</v>
      </c>
      <c r="G4" s="6" t="s">
        <v>34</v>
      </c>
    </row>
    <row r="5" spans="1:7" x14ac:dyDescent="0.25">
      <c r="A5" s="6" t="s">
        <v>46</v>
      </c>
      <c r="B5" s="6" t="s">
        <v>47</v>
      </c>
      <c r="C5" s="6" t="s">
        <v>133</v>
      </c>
      <c r="D5" s="6" t="s">
        <v>19</v>
      </c>
      <c r="E5" s="6" t="s">
        <v>25</v>
      </c>
      <c r="F5" s="6" t="s">
        <v>29</v>
      </c>
      <c r="G5" s="6" t="s">
        <v>35</v>
      </c>
    </row>
    <row r="6" spans="1:7" x14ac:dyDescent="0.25">
      <c r="A6" s="6" t="s">
        <v>72</v>
      </c>
      <c r="B6" s="6" t="s">
        <v>73</v>
      </c>
      <c r="C6" s="6" t="s">
        <v>74</v>
      </c>
      <c r="D6" s="6" t="s">
        <v>139</v>
      </c>
      <c r="E6" s="6" t="s">
        <v>24</v>
      </c>
      <c r="F6" s="6" t="s">
        <v>28</v>
      </c>
      <c r="G6" s="6" t="s">
        <v>36</v>
      </c>
    </row>
    <row r="7" spans="1:7" x14ac:dyDescent="0.25">
      <c r="A7" s="6" t="s">
        <v>57</v>
      </c>
      <c r="B7" s="6" t="s">
        <v>58</v>
      </c>
      <c r="C7" s="6" t="s">
        <v>59</v>
      </c>
      <c r="D7" s="6"/>
      <c r="E7" s="6" t="s">
        <v>22</v>
      </c>
      <c r="F7" s="6" t="s">
        <v>30</v>
      </c>
      <c r="G7" s="6" t="s">
        <v>37</v>
      </c>
    </row>
    <row r="8" spans="1:7" x14ac:dyDescent="0.25">
      <c r="A8" s="6" t="s">
        <v>39</v>
      </c>
      <c r="B8" s="6" t="s">
        <v>41</v>
      </c>
      <c r="C8" s="6" t="s">
        <v>42</v>
      </c>
      <c r="D8" s="6"/>
      <c r="E8" s="6" t="s">
        <v>20</v>
      </c>
      <c r="F8" s="6" t="s">
        <v>139</v>
      </c>
      <c r="G8" s="6" t="s">
        <v>139</v>
      </c>
    </row>
    <row r="9" spans="1:7" x14ac:dyDescent="0.25">
      <c r="A9" s="6" t="s">
        <v>103</v>
      </c>
      <c r="B9" s="6" t="s">
        <v>104</v>
      </c>
      <c r="C9" s="6" t="s">
        <v>105</v>
      </c>
      <c r="D9" s="6"/>
      <c r="E9" s="6" t="s">
        <v>23</v>
      </c>
      <c r="F9" s="6"/>
      <c r="G9" s="6"/>
    </row>
    <row r="10" spans="1:7" x14ac:dyDescent="0.25">
      <c r="A10" s="6" t="s">
        <v>76</v>
      </c>
      <c r="B10" s="6" t="s">
        <v>77</v>
      </c>
      <c r="C10" s="6" t="s">
        <v>78</v>
      </c>
      <c r="D10" s="6"/>
      <c r="E10" s="6" t="s">
        <v>21</v>
      </c>
      <c r="F10" s="6"/>
      <c r="G10" s="6"/>
    </row>
    <row r="11" spans="1:7" x14ac:dyDescent="0.25">
      <c r="A11" s="6" t="s">
        <v>48</v>
      </c>
      <c r="B11" s="6" t="s">
        <v>49</v>
      </c>
      <c r="C11" s="6" t="s">
        <v>50</v>
      </c>
      <c r="D11" s="6"/>
      <c r="E11" s="6"/>
      <c r="F11" s="6"/>
      <c r="G11" s="6"/>
    </row>
    <row r="12" spans="1:7" x14ac:dyDescent="0.25">
      <c r="A12" s="6" t="s">
        <v>109</v>
      </c>
      <c r="B12" s="6" t="s">
        <v>110</v>
      </c>
      <c r="C12" s="6" t="s">
        <v>111</v>
      </c>
      <c r="D12" s="6"/>
      <c r="E12" s="6"/>
      <c r="F12" s="6"/>
      <c r="G12" s="6"/>
    </row>
    <row r="13" spans="1:7" x14ac:dyDescent="0.25">
      <c r="A13" s="6" t="s">
        <v>106</v>
      </c>
      <c r="B13" s="6" t="s">
        <v>107</v>
      </c>
      <c r="C13" s="6" t="s">
        <v>108</v>
      </c>
      <c r="D13" s="6"/>
      <c r="E13" s="6"/>
      <c r="F13" s="6"/>
      <c r="G13" s="6"/>
    </row>
    <row r="14" spans="1:7" x14ac:dyDescent="0.25">
      <c r="A14" s="6" t="s">
        <v>112</v>
      </c>
      <c r="B14" s="6" t="s">
        <v>113</v>
      </c>
      <c r="C14" s="6" t="s">
        <v>114</v>
      </c>
      <c r="D14" s="6"/>
      <c r="E14" s="6"/>
      <c r="F14" s="6"/>
      <c r="G14" s="6"/>
    </row>
    <row r="15" spans="1:7" x14ac:dyDescent="0.25">
      <c r="A15" s="6" t="s">
        <v>115</v>
      </c>
      <c r="B15" s="6" t="s">
        <v>116</v>
      </c>
      <c r="C15" s="6" t="s">
        <v>117</v>
      </c>
      <c r="D15" s="6"/>
      <c r="E15" s="6"/>
      <c r="F15" s="6"/>
      <c r="G15" s="6"/>
    </row>
    <row r="16" spans="1:7" x14ac:dyDescent="0.25">
      <c r="A16" s="6" t="s">
        <v>51</v>
      </c>
      <c r="B16" s="6" t="s">
        <v>52</v>
      </c>
      <c r="C16" s="6" t="s">
        <v>53</v>
      </c>
      <c r="D16" s="6"/>
      <c r="E16" s="6"/>
      <c r="F16" s="6"/>
      <c r="G16" s="6"/>
    </row>
    <row r="17" spans="1:7" x14ac:dyDescent="0.25">
      <c r="A17" s="6" t="s">
        <v>97</v>
      </c>
      <c r="B17" s="6" t="s">
        <v>98</v>
      </c>
      <c r="C17" s="6" t="s">
        <v>99</v>
      </c>
      <c r="D17" s="6"/>
      <c r="E17" s="6"/>
      <c r="F17" s="6"/>
      <c r="G17" s="6"/>
    </row>
    <row r="18" spans="1:7" x14ac:dyDescent="0.25">
      <c r="A18" s="6" t="s">
        <v>54</v>
      </c>
      <c r="B18" s="6" t="s">
        <v>55</v>
      </c>
      <c r="C18" s="6" t="s">
        <v>56</v>
      </c>
      <c r="D18" s="6"/>
      <c r="E18" s="6"/>
      <c r="F18" s="6"/>
      <c r="G18" s="6"/>
    </row>
    <row r="19" spans="1:7" x14ac:dyDescent="0.25">
      <c r="A19" s="6" t="s">
        <v>91</v>
      </c>
      <c r="B19" s="6" t="s">
        <v>93</v>
      </c>
      <c r="C19" s="6" t="s">
        <v>92</v>
      </c>
      <c r="D19" s="6"/>
      <c r="E19" s="6"/>
      <c r="F19" s="6"/>
      <c r="G19" s="6"/>
    </row>
    <row r="20" spans="1:7" x14ac:dyDescent="0.25">
      <c r="A20" s="6" t="s">
        <v>66</v>
      </c>
      <c r="B20" s="6" t="s">
        <v>67</v>
      </c>
      <c r="C20" s="6" t="s">
        <v>68</v>
      </c>
      <c r="D20" s="6"/>
      <c r="E20" s="6"/>
      <c r="F20" s="6"/>
      <c r="G20" s="6"/>
    </row>
    <row r="21" spans="1:7" x14ac:dyDescent="0.25">
      <c r="A21" s="6" t="s">
        <v>63</v>
      </c>
      <c r="B21" s="6" t="s">
        <v>64</v>
      </c>
      <c r="C21" s="6" t="s">
        <v>65</v>
      </c>
      <c r="D21" s="6"/>
      <c r="E21" s="6"/>
      <c r="F21" s="6"/>
      <c r="G21" s="6"/>
    </row>
    <row r="22" spans="1:7" x14ac:dyDescent="0.25">
      <c r="A22" s="6" t="s">
        <v>60</v>
      </c>
      <c r="B22" s="6" t="s">
        <v>61</v>
      </c>
      <c r="C22" s="6" t="s">
        <v>62</v>
      </c>
      <c r="D22" s="6"/>
      <c r="E22" s="6"/>
      <c r="F22" s="6"/>
      <c r="G22" s="6"/>
    </row>
    <row r="23" spans="1:7" x14ac:dyDescent="0.25">
      <c r="A23" s="6" t="s">
        <v>100</v>
      </c>
      <c r="B23" s="6" t="s">
        <v>101</v>
      </c>
      <c r="C23" s="6" t="s">
        <v>102</v>
      </c>
      <c r="D23" s="6"/>
      <c r="E23" s="6"/>
      <c r="F23" s="6"/>
      <c r="G23" s="6"/>
    </row>
    <row r="24" spans="1:7" x14ac:dyDescent="0.25">
      <c r="A24" s="6" t="s">
        <v>85</v>
      </c>
      <c r="B24" s="6" t="s">
        <v>86</v>
      </c>
      <c r="C24" s="6" t="s">
        <v>87</v>
      </c>
      <c r="D24" s="6"/>
      <c r="E24" s="6"/>
      <c r="F24" s="6"/>
      <c r="G24" s="6"/>
    </row>
    <row r="25" spans="1:7" x14ac:dyDescent="0.25">
      <c r="A25" s="6" t="s">
        <v>82</v>
      </c>
      <c r="B25" s="6" t="s">
        <v>83</v>
      </c>
      <c r="C25" s="6" t="s">
        <v>84</v>
      </c>
      <c r="D25" s="6"/>
      <c r="E25" s="6"/>
      <c r="F25" s="6"/>
      <c r="G25" s="6"/>
    </row>
    <row r="26" spans="1:7" x14ac:dyDescent="0.25">
      <c r="A26" s="6" t="s">
        <v>88</v>
      </c>
      <c r="B26" s="6" t="s">
        <v>89</v>
      </c>
      <c r="C26" s="6" t="s">
        <v>90</v>
      </c>
      <c r="D26" s="6"/>
      <c r="E26" s="6"/>
      <c r="F26" s="6"/>
      <c r="G26" s="6"/>
    </row>
    <row r="27" spans="1:7" x14ac:dyDescent="0.25">
      <c r="A27" s="6" t="s">
        <v>134</v>
      </c>
      <c r="B27" s="6" t="s">
        <v>135</v>
      </c>
      <c r="C27" s="6" t="s">
        <v>136</v>
      </c>
      <c r="D27" s="6"/>
      <c r="E27" s="6"/>
      <c r="F27" s="6"/>
      <c r="G27" s="6"/>
    </row>
    <row r="28" spans="1:7" x14ac:dyDescent="0.25">
      <c r="A28" s="6" t="s">
        <v>80</v>
      </c>
      <c r="B28" s="6" t="s">
        <v>81</v>
      </c>
      <c r="C28" s="6" t="s">
        <v>79</v>
      </c>
      <c r="D28" s="6"/>
      <c r="E28" s="6"/>
      <c r="F28" s="6"/>
      <c r="G28" s="6"/>
    </row>
    <row r="29" spans="1:7" x14ac:dyDescent="0.25">
      <c r="A29" s="6" t="s">
        <v>69</v>
      </c>
      <c r="B29" s="6" t="s">
        <v>70</v>
      </c>
      <c r="C29" s="6" t="s">
        <v>71</v>
      </c>
      <c r="D29" s="6"/>
      <c r="E29" s="6"/>
      <c r="F29" s="6"/>
      <c r="G29" s="6"/>
    </row>
    <row r="30" spans="1:7" x14ac:dyDescent="0.25">
      <c r="A30" s="6" t="s">
        <v>94</v>
      </c>
      <c r="B30" s="6" t="s">
        <v>95</v>
      </c>
      <c r="C30" s="6" t="s">
        <v>96</v>
      </c>
      <c r="D30" s="6"/>
      <c r="E30" s="6"/>
      <c r="F30" s="6"/>
      <c r="G30" s="6"/>
    </row>
    <row r="31" spans="1:7" x14ac:dyDescent="0.25">
      <c r="A31" s="6"/>
      <c r="B31" s="6"/>
      <c r="C31" s="6"/>
      <c r="D31" s="6"/>
      <c r="E31" s="6"/>
      <c r="F31" s="6"/>
      <c r="G31" s="6"/>
    </row>
    <row r="32" spans="1:7" x14ac:dyDescent="0.25">
      <c r="A32" s="6"/>
      <c r="B32" s="6"/>
      <c r="C32" s="6"/>
      <c r="D32" s="6"/>
      <c r="E32" s="6"/>
      <c r="F32" s="6"/>
      <c r="G32" s="6"/>
    </row>
    <row r="33" spans="1:7" x14ac:dyDescent="0.25">
      <c r="A33" s="6"/>
      <c r="B33" s="6"/>
      <c r="C33" s="6"/>
      <c r="D33" s="6"/>
      <c r="E33" s="6"/>
      <c r="F33" s="6"/>
      <c r="G33" s="6"/>
    </row>
    <row r="34" spans="1:7" x14ac:dyDescent="0.25">
      <c r="A34" s="6"/>
      <c r="B34" s="6"/>
      <c r="C34" s="6"/>
      <c r="D34" s="6"/>
      <c r="E34" s="6"/>
      <c r="F34" s="6"/>
      <c r="G34" s="6"/>
    </row>
    <row r="35" spans="1:7" x14ac:dyDescent="0.25">
      <c r="A35" s="6"/>
      <c r="B35" s="6"/>
      <c r="C35" s="6"/>
      <c r="D35" s="6"/>
      <c r="E35" s="6"/>
      <c r="F35" s="6"/>
      <c r="G35" s="6"/>
    </row>
    <row r="36" spans="1:7" x14ac:dyDescent="0.25">
      <c r="A36" s="6"/>
      <c r="B36" s="6"/>
      <c r="C36" s="6"/>
      <c r="D36" s="6"/>
      <c r="E36" s="6"/>
      <c r="F36" s="6"/>
      <c r="G36" s="6"/>
    </row>
    <row r="37" spans="1:7" x14ac:dyDescent="0.25">
      <c r="A37" s="6"/>
      <c r="B37" s="6"/>
      <c r="C37" s="6"/>
      <c r="D37" s="6"/>
      <c r="E37" s="6"/>
      <c r="F37" s="6"/>
      <c r="G37" s="6"/>
    </row>
    <row r="38" spans="1:7" x14ac:dyDescent="0.25">
      <c r="A38" s="6"/>
      <c r="B38" s="6"/>
      <c r="C38" s="6"/>
      <c r="D38" s="6"/>
      <c r="E38" s="6"/>
      <c r="F38" s="6"/>
      <c r="G38" s="6"/>
    </row>
    <row r="39" spans="1:7" x14ac:dyDescent="0.25">
      <c r="A39" s="6"/>
      <c r="B39" s="6"/>
      <c r="C39" s="6"/>
      <c r="D39" s="6"/>
      <c r="E39" s="6"/>
      <c r="F39" s="6"/>
      <c r="G39" s="6"/>
    </row>
    <row r="40" spans="1:7" x14ac:dyDescent="0.25">
      <c r="A40" s="6"/>
      <c r="B40" s="6"/>
      <c r="C40" s="6"/>
      <c r="D40" s="6"/>
      <c r="E40" s="6"/>
      <c r="F40" s="6"/>
      <c r="G40" s="6"/>
    </row>
    <row r="41" spans="1:7" x14ac:dyDescent="0.25">
      <c r="A41" s="6"/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3" spans="1:7" x14ac:dyDescent="0.25">
      <c r="A43" s="6"/>
      <c r="B43" s="6"/>
      <c r="C43" s="6"/>
      <c r="D43" s="6"/>
      <c r="E43" s="6"/>
      <c r="F43" s="6"/>
      <c r="G43" s="6"/>
    </row>
    <row r="44" spans="1:7" x14ac:dyDescent="0.25">
      <c r="A44" s="6"/>
      <c r="B44" s="6"/>
      <c r="C44" s="6"/>
      <c r="D44" s="6"/>
      <c r="E44" s="6"/>
      <c r="F44" s="6"/>
      <c r="G44" s="6"/>
    </row>
    <row r="45" spans="1:7" x14ac:dyDescent="0.25">
      <c r="A45" s="6"/>
      <c r="B45" s="6"/>
      <c r="C45" s="6"/>
      <c r="D45" s="6"/>
      <c r="E45" s="6"/>
      <c r="F45" s="6"/>
      <c r="G45" s="6"/>
    </row>
    <row r="46" spans="1:7" x14ac:dyDescent="0.25">
      <c r="A46" s="6"/>
      <c r="B46" s="6"/>
      <c r="C46" s="6"/>
      <c r="D46" s="6"/>
      <c r="E46" s="6"/>
      <c r="F46" s="6"/>
      <c r="G46" s="6"/>
    </row>
    <row r="47" spans="1:7" x14ac:dyDescent="0.25">
      <c r="A47" s="6"/>
      <c r="B47" s="6"/>
      <c r="C47" s="6"/>
      <c r="D47" s="6"/>
      <c r="E47" s="6"/>
      <c r="F47" s="6"/>
      <c r="G47" s="6"/>
    </row>
    <row r="48" spans="1:7" x14ac:dyDescent="0.25">
      <c r="A48" s="6"/>
      <c r="B48" s="6"/>
      <c r="C48" s="6"/>
      <c r="D48" s="6"/>
      <c r="E48" s="6"/>
      <c r="F48" s="6"/>
      <c r="G48" s="6"/>
    </row>
    <row r="49" spans="1:7" x14ac:dyDescent="0.25">
      <c r="A49" s="6"/>
      <c r="B49" s="6"/>
      <c r="C49" s="6"/>
      <c r="D49" s="6"/>
      <c r="E49" s="6"/>
      <c r="F49" s="6"/>
      <c r="G49" s="6"/>
    </row>
    <row r="50" spans="1:7" x14ac:dyDescent="0.25">
      <c r="A50" s="6"/>
      <c r="B50" s="6"/>
      <c r="C50" s="6"/>
      <c r="D50" s="6"/>
      <c r="E50" s="6"/>
      <c r="F50" s="6"/>
      <c r="G50" s="6"/>
    </row>
    <row r="51" spans="1:7" x14ac:dyDescent="0.25">
      <c r="A51" s="6"/>
      <c r="B51" s="6"/>
      <c r="C51" s="6"/>
      <c r="D51" s="6"/>
      <c r="E51" s="6"/>
      <c r="F51" s="6"/>
      <c r="G51" s="6"/>
    </row>
    <row r="52" spans="1:7" x14ac:dyDescent="0.25">
      <c r="A52" s="6"/>
      <c r="B52" s="6"/>
      <c r="C52" s="6"/>
      <c r="D52" s="6"/>
      <c r="E52" s="6"/>
      <c r="F52" s="6"/>
      <c r="G52" s="6"/>
    </row>
    <row r="53" spans="1:7" x14ac:dyDescent="0.25">
      <c r="A53" s="6"/>
      <c r="B53" s="6"/>
      <c r="C53" s="6"/>
      <c r="D53" s="6"/>
      <c r="E53" s="6"/>
      <c r="F53" s="6"/>
      <c r="G53" s="6"/>
    </row>
    <row r="54" spans="1:7" x14ac:dyDescent="0.25">
      <c r="A54" s="6"/>
      <c r="B54" s="6"/>
      <c r="C54" s="6"/>
      <c r="D54" s="6"/>
      <c r="E54" s="6"/>
      <c r="F54" s="6"/>
      <c r="G54" s="6"/>
    </row>
    <row r="55" spans="1:7" x14ac:dyDescent="0.25">
      <c r="A55" s="6"/>
      <c r="B55" s="6"/>
      <c r="C55" s="6"/>
      <c r="D55" s="6"/>
      <c r="E55" s="6"/>
      <c r="F55" s="6"/>
      <c r="G55" s="6"/>
    </row>
    <row r="56" spans="1:7" x14ac:dyDescent="0.25">
      <c r="A56" s="6"/>
      <c r="B56" s="6"/>
      <c r="C56" s="6"/>
      <c r="D56" s="6"/>
      <c r="E56" s="6"/>
      <c r="F56" s="6"/>
      <c r="G56" s="6"/>
    </row>
    <row r="57" spans="1:7" x14ac:dyDescent="0.25">
      <c r="A57" s="6"/>
      <c r="B57" s="6"/>
      <c r="C57" s="6"/>
      <c r="D57" s="6"/>
      <c r="E57" s="6"/>
      <c r="F57" s="6"/>
      <c r="G57" s="6"/>
    </row>
    <row r="58" spans="1:7" x14ac:dyDescent="0.25">
      <c r="A58" s="6"/>
      <c r="B58" s="6"/>
      <c r="C58" s="6"/>
      <c r="D58" s="6"/>
      <c r="E58" s="6"/>
      <c r="F58" s="6"/>
      <c r="G58" s="6"/>
    </row>
    <row r="59" spans="1:7" x14ac:dyDescent="0.25">
      <c r="A59" s="6"/>
      <c r="B59" s="6"/>
      <c r="C59" s="6"/>
      <c r="D59" s="6"/>
      <c r="E59" s="6"/>
      <c r="F59" s="6"/>
      <c r="G59" s="6"/>
    </row>
    <row r="60" spans="1:7" x14ac:dyDescent="0.25">
      <c r="A60" s="6"/>
      <c r="B60" s="6"/>
      <c r="C60" s="6"/>
      <c r="D60" s="6"/>
      <c r="E60" s="6"/>
      <c r="F60" s="6"/>
      <c r="G60" s="6"/>
    </row>
    <row r="61" spans="1:7" x14ac:dyDescent="0.25">
      <c r="A61" s="6"/>
      <c r="B61" s="6"/>
      <c r="C61" s="6"/>
      <c r="D61" s="6"/>
      <c r="E61" s="6"/>
      <c r="F61" s="6"/>
      <c r="G61" s="6"/>
    </row>
    <row r="62" spans="1:7" x14ac:dyDescent="0.25">
      <c r="A62" s="6"/>
      <c r="B62" s="6"/>
      <c r="C62" s="6"/>
      <c r="D62" s="6"/>
      <c r="E62" s="6"/>
      <c r="F62" s="6"/>
      <c r="G62" s="6"/>
    </row>
    <row r="63" spans="1:7" x14ac:dyDescent="0.25">
      <c r="A63" s="6"/>
      <c r="B63" s="6"/>
      <c r="C63" s="6"/>
      <c r="D63" s="6"/>
      <c r="E63" s="6"/>
      <c r="F63" s="6"/>
      <c r="G63" s="6"/>
    </row>
    <row r="64" spans="1:7" x14ac:dyDescent="0.25">
      <c r="A64" s="6"/>
      <c r="B64" s="6"/>
      <c r="C64" s="6"/>
      <c r="D64" s="6"/>
      <c r="E64" s="6"/>
      <c r="F64" s="6"/>
      <c r="G64" s="6"/>
    </row>
    <row r="65" spans="1:7" x14ac:dyDescent="0.25">
      <c r="A65" s="6"/>
      <c r="B65" s="6"/>
      <c r="C65" s="6"/>
      <c r="D65" s="6"/>
      <c r="E65" s="6"/>
      <c r="F65" s="6"/>
      <c r="G65" s="6"/>
    </row>
    <row r="66" spans="1:7" x14ac:dyDescent="0.25">
      <c r="A66" s="6"/>
      <c r="B66" s="6"/>
      <c r="C66" s="6"/>
      <c r="D66" s="6"/>
      <c r="E66" s="6"/>
      <c r="F66" s="6"/>
      <c r="G66" s="6"/>
    </row>
    <row r="67" spans="1:7" x14ac:dyDescent="0.25">
      <c r="A67" s="6"/>
      <c r="B67" s="6"/>
      <c r="C67" s="6"/>
      <c r="D67" s="6"/>
      <c r="E67" s="6"/>
      <c r="F67" s="6"/>
      <c r="G67" s="6"/>
    </row>
    <row r="68" spans="1:7" x14ac:dyDescent="0.25">
      <c r="A68" s="6"/>
      <c r="B68" s="6"/>
      <c r="C68" s="6"/>
      <c r="D68" s="6"/>
      <c r="E68" s="6"/>
      <c r="F68" s="6"/>
      <c r="G68" s="6"/>
    </row>
    <row r="69" spans="1:7" x14ac:dyDescent="0.25">
      <c r="A69" s="6"/>
      <c r="B69" s="6"/>
      <c r="C69" s="6"/>
      <c r="D69" s="6"/>
      <c r="E69" s="6"/>
      <c r="F69" s="6"/>
      <c r="G69" s="6"/>
    </row>
    <row r="70" spans="1:7" x14ac:dyDescent="0.25">
      <c r="A70" s="6"/>
      <c r="B70" s="6"/>
      <c r="C70" s="6"/>
      <c r="D70" s="6"/>
      <c r="E70" s="6"/>
      <c r="F70" s="6"/>
      <c r="G70" s="6"/>
    </row>
    <row r="71" spans="1:7" x14ac:dyDescent="0.25">
      <c r="A71" s="6"/>
      <c r="B71" s="6"/>
      <c r="C71" s="6"/>
      <c r="D71" s="6"/>
      <c r="E71" s="6"/>
      <c r="F71" s="6"/>
      <c r="G71" s="6"/>
    </row>
    <row r="72" spans="1:7" x14ac:dyDescent="0.25">
      <c r="A72" s="7"/>
      <c r="B72" s="7"/>
      <c r="C72" s="7"/>
      <c r="D72" s="7"/>
      <c r="E72" s="7"/>
      <c r="F72" s="7"/>
      <c r="G72" s="7"/>
    </row>
    <row r="73" spans="1:7" x14ac:dyDescent="0.25">
      <c r="A73" s="7"/>
      <c r="B73" s="7"/>
      <c r="C73" s="7"/>
      <c r="D73" s="7"/>
      <c r="E73" s="7"/>
      <c r="F73" s="7"/>
      <c r="G73" s="7"/>
    </row>
    <row r="74" spans="1:7" x14ac:dyDescent="0.25">
      <c r="A74" s="7"/>
      <c r="B74" s="7"/>
      <c r="C74" s="7"/>
      <c r="D74" s="7"/>
      <c r="E74" s="7"/>
      <c r="F74" s="7"/>
      <c r="G74" s="7"/>
    </row>
  </sheetData>
  <sortState ref="A3:C29">
    <sortCondition ref="A3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Bens Imóveis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Da Silva Salvatierre</dc:creator>
  <cp:lastModifiedBy>Charles Da Silva Salvatierre</cp:lastModifiedBy>
  <dcterms:created xsi:type="dcterms:W3CDTF">2026-01-27T14:50:04Z</dcterms:created>
  <dcterms:modified xsi:type="dcterms:W3CDTF">2026-03-24T16:42:09Z</dcterms:modified>
</cp:coreProperties>
</file>