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69330727204\Documents\DPAT\imoveis\TCE\TCE - ABR 2026\"/>
    </mc:Choice>
  </mc:AlternateContent>
  <bookViews>
    <workbookView xWindow="0" yWindow="0" windowWidth="28800" windowHeight="12300"/>
  </bookViews>
  <sheets>
    <sheet name="Bens Imóveis" sheetId="1" r:id="rId1"/>
    <sheet name="Listas" sheetId="2" r:id="rId2"/>
  </sheets>
  <definedNames>
    <definedName name="_xlnm._FilterDatabase" localSheetId="0" hidden="1">'Bens Imóveis'!$A$1:$Q$50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</calcChain>
</file>

<file path=xl/sharedStrings.xml><?xml version="1.0" encoding="utf-8"?>
<sst xmlns="http://schemas.openxmlformats.org/spreadsheetml/2006/main" count="719" uniqueCount="178">
  <si>
    <t>ZONA</t>
  </si>
  <si>
    <t>CARTÓRIO</t>
  </si>
  <si>
    <t xml:space="preserve">EDIFICAÇÃO 
VALOR (R$) </t>
  </si>
  <si>
    <t>UG</t>
  </si>
  <si>
    <t>SITUAÇÃO USO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</si>
  <si>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</si>
  <si>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</si>
  <si>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</si>
  <si>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</si>
  <si>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</si>
  <si>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</si>
  <si>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</si>
  <si>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</si>
  <si>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</si>
  <si>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</si>
  <si>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</si>
  <si>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</si>
  <si>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</si>
  <si>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</si>
  <si>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</si>
  <si>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</si>
  <si>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</si>
  <si>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</si>
  <si>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</si>
  <si>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</si>
  <si>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</si>
  <si>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</si>
  <si>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</si>
  <si>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</si>
  <si>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</si>
  <si>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Câmara Municipal de Manaus</t>
  </si>
  <si>
    <t>CC</t>
  </si>
  <si>
    <t>Casa Civil</t>
  </si>
  <si>
    <t>CC-ERB</t>
  </si>
  <si>
    <t>GVP</t>
  </si>
  <si>
    <t>Gabinete do Vice-Prefeito</t>
  </si>
  <si>
    <t>PGM</t>
  </si>
  <si>
    <t>Procuradoria Geral do Municipio</t>
  </si>
  <si>
    <t>SEMAD</t>
  </si>
  <si>
    <t>Secretaria Municipal de Administração e Gestão</t>
  </si>
  <si>
    <t>CM</t>
  </si>
  <si>
    <t>Casa Militar</t>
  </si>
  <si>
    <t>SEMEF</t>
  </si>
  <si>
    <t xml:space="preserve"> Secretaria Municipal de Finanças, Planejamento e Tecnologia da Informação</t>
  </si>
  <si>
    <t>SEMED</t>
  </si>
  <si>
    <t>Secretaria Municipal de Educação</t>
  </si>
  <si>
    <t>SEMCOM</t>
  </si>
  <si>
    <t>Secretaria Municipal de Comunicação</t>
  </si>
  <si>
    <t>SEMTEPI</t>
  </si>
  <si>
    <t>Secretaria Municipal do Trabalho, Empreendedorismo e Inovação</t>
  </si>
  <si>
    <t>CGM</t>
  </si>
  <si>
    <t>Controladoria Geral do Municipio</t>
  </si>
  <si>
    <t>UNIDADE ORÇAMENTÁRIA</t>
  </si>
  <si>
    <t>FMS</t>
  </si>
  <si>
    <t>Fundo Municipal de Saúde</t>
  </si>
  <si>
    <t>Secretaria Municipal de Segurança Pública e Defesa Social</t>
  </si>
  <si>
    <t>SEMSEG</t>
  </si>
  <si>
    <t>SEMJEL</t>
  </si>
  <si>
    <t>Secretaria Municipal de Juventude, Esporte e Lazer</t>
  </si>
  <si>
    <t>SEMINF</t>
  </si>
  <si>
    <t>Secretaria Municipal de Infraestrutura</t>
  </si>
  <si>
    <t>SEMMAS</t>
  </si>
  <si>
    <t>Secretaria de Meio Ambiente e Sustentabilidade</t>
  </si>
  <si>
    <t>SEMASC</t>
  </si>
  <si>
    <t>Secretaria Municipal da Mulher, Assistência Social e Cidadania</t>
  </si>
  <si>
    <t>SEMULSP</t>
  </si>
  <si>
    <t>Secretaria Municipal de Limpeza Urbana</t>
  </si>
  <si>
    <t>SEMACC</t>
  </si>
  <si>
    <t>Secretaria Municipal de Agricultura, Abastecimento, Centro e Comércio Informal</t>
  </si>
  <si>
    <t>SEMHAF</t>
  </si>
  <si>
    <t>Secretaria Municipal de Habitação e Assuntos Fundiários</t>
  </si>
  <si>
    <t>FDT</t>
  </si>
  <si>
    <t>Fundação Doutor Thomas</t>
  </si>
  <si>
    <t>IMPLURB</t>
  </si>
  <si>
    <t>Instituto Municipal de Planejamento Urbano</t>
  </si>
  <si>
    <t>IMMU</t>
  </si>
  <si>
    <t>Instituto Municipal de Mobilidade Urbana</t>
  </si>
  <si>
    <t>MANAUSCULT</t>
  </si>
  <si>
    <t>Fundação Municipal de Cultura, Turismo e Eventos</t>
  </si>
  <si>
    <t>MANAUSPREV</t>
  </si>
  <si>
    <t>Manaus Previdência</t>
  </si>
  <si>
    <t>AGEMAN</t>
  </si>
  <si>
    <t>Agência Reguladora dos Serviços Públicos Delegados do Município de Manaus</t>
  </si>
  <si>
    <t>Rua Chico Mendes,S/Nº  - Colônia Chico Mendes -  CEP 69.000-000</t>
  </si>
  <si>
    <t>Rua 91,S/Nº - Cidade Nova II -  CEP 69.000-000</t>
  </si>
  <si>
    <t>Rua 11 (esquina com Rua Penetração II), S/Nº - São José II - CEP 69.000-000</t>
  </si>
  <si>
    <t>Rua 15,S/Nº  - São José II - CEP 69.085-160</t>
  </si>
  <si>
    <t>Rua Campo Grande,33  - Vale do Amanhecer - CEP 69.000-000</t>
  </si>
  <si>
    <t>Rua Silva Ramos,132  - Centro - CEP 69.010-180</t>
  </si>
  <si>
    <t>Rua Jerico,S/Nº - Santo Agostinho - CEP 69.000-000</t>
  </si>
  <si>
    <t>Rua São Lázaro,26 - Betânia - CEP 69.073-091</t>
  </si>
  <si>
    <t>Rua Professor Abílio Alencar (antiga Rua 05), S/Nº - Alvorada II - CEP 69.043-150</t>
  </si>
  <si>
    <t>Escritório de Representação em Brasília</t>
  </si>
  <si>
    <t>SEMSA</t>
  </si>
  <si>
    <t>Secretaria Municipal de Saúde</t>
  </si>
  <si>
    <t>SIGLA UG</t>
  </si>
  <si>
    <t>Em ajuste</t>
  </si>
  <si>
    <t>Av. Maneca Marques, 22 - Parque 10 de Novembro - CEP 69.055-021</t>
  </si>
  <si>
    <t>R. Teófilo Dias (antiga Rua Belo Horizonte),100 - Compensa II - CEP 69.015-420</t>
  </si>
  <si>
    <t>R. da Prosperidade, S/N - Alvorada - CEP 69.040-000</t>
  </si>
  <si>
    <t>Av. C,47, Qd 67 - Conjunto Francisca Mendes II - Cidade Nova - CEP 69.000-000</t>
  </si>
  <si>
    <t>R. Eduardo Prado, S/N - Compensa II - CEP 69.035-640</t>
  </si>
  <si>
    <t>Av. Paraibano,S/Nº  Conjunto Braga Mendes - Cidade Nova -  CEP 69.000-000</t>
  </si>
  <si>
    <t>Rua Das Pedras,2000  - Compensa II -  CEP 69.000-000</t>
  </si>
  <si>
    <t>Rua Portugal, 533 - Japiinlândia - CEP 69.078-551</t>
  </si>
  <si>
    <t>Rua A-10,S/Nº - Japiim II -  CEP 69.000-000</t>
  </si>
  <si>
    <t>Rua Girassol,S/Nº  - Lirio do Vale -  CEP 69.000-000</t>
  </si>
  <si>
    <t>Rua 26,S/Nº  - Japiim I -  CEP 69.000-000</t>
  </si>
  <si>
    <t>Rua Hermínio Barbosa,S/Nº  - Morro da Liberdade - CEP 69.074-762</t>
  </si>
  <si>
    <t>Av. Penetração,S/Nº - Japiim II - CEP 69.000-000</t>
  </si>
  <si>
    <t>Rua 03,S/Nº  - Petrópolis - CEP 69.000-000</t>
  </si>
  <si>
    <t>Rua Beija-Flor, S/Nº - Riacho Doce - CEP 69.000-000</t>
  </si>
  <si>
    <t>Rua Valério Botelho de Andrade,S/Nº - São Francisco -  CEP 69.079-260</t>
  </si>
  <si>
    <t>Rua Inocêncio de Araújo,01 - Educandos - CEP 69.070-100</t>
  </si>
  <si>
    <t>Rua Lago do Rei,S/Nº - Puraquequara - CEP 69.009-075</t>
  </si>
  <si>
    <t>Rua Padre Mário,21  - Colônia Antônio Aleixo - CEP 69.008-120</t>
  </si>
  <si>
    <t>TRua Francisco Queiroz,S/Nº  - Colônia Oliveira Machado -  CEP 69.000-000</t>
  </si>
  <si>
    <t>Av. BEIRA- MAR,10  - Educandos - CEP 69.070-020</t>
  </si>
  <si>
    <t>Rm. Nova Esperança,S/Nº  - Valparaíso - CEP 69.000-000</t>
  </si>
  <si>
    <t>Rua São Sebastião, S/Nº  Comunidade Vila da Felicidade - Mauazinho - CEP 69.000-000</t>
  </si>
  <si>
    <t>Rua 8,13  - Alfredo Nascimento - CEP 69.000-000</t>
  </si>
  <si>
    <t>Rua DRua Gentil Bittencourt,450  Campo do Buracão - Alvorada II - CEP 69.042-120</t>
  </si>
  <si>
    <t>Av. Carvalho Leal,S/Nº  - Cachoeirinha - CEP 69.065-000</t>
  </si>
  <si>
    <t>Rua Da Indústria,20  - Compensa I - CEP 69.000-000</t>
  </si>
  <si>
    <t>Rua Magalhães Barata,S/Nº  - Crespo - CEP 69.073-166</t>
  </si>
  <si>
    <t>Rua São Bento,S/Nº  - Glória - CEP 69.027-490</t>
  </si>
  <si>
    <t>Av. Rodrigo Otávio,S/Nº, Lagoa do Japiim - Japiim - CEP 69.077-000</t>
  </si>
  <si>
    <t>Rua 01,S/Nº - Jorge Teixeira - CEP 69.088-140</t>
  </si>
  <si>
    <t>Rua 04,85, Qd 5,  Mutirão - Amazonino Mendes -  CEP 69.000-000</t>
  </si>
  <si>
    <t>Rua Algas Marinhas,142  - Cidade Nova -  CEP 69.099-392</t>
  </si>
  <si>
    <t>Rua Porto Marisco,220 - Jorge Teixeira - CEP 69.088-754</t>
  </si>
  <si>
    <t>Rua Olinda,S/Nº  - Redenção - CEP 69.047-501</t>
  </si>
  <si>
    <t>Rua 04,S/Nº  - São José III -  CEP 69.086-050</t>
  </si>
  <si>
    <t>Rua MARGINAL,S/Nº  - São José IV - CEP 69.086-000</t>
  </si>
  <si>
    <t>Rua Barreirinha,18  - União - CEP 69.000-000</t>
  </si>
  <si>
    <t>Rua 01,S/Nº,  Conjunto Duque de Caxias - Flores - CEP 69.000-000</t>
  </si>
  <si>
    <t>Rua 04,S/Nº  - Alvorada I - CEP 69.000-000</t>
  </si>
  <si>
    <t>nrTombamento</t>
  </si>
  <si>
    <t>nrAfetacao</t>
  </si>
  <si>
    <t>diarioAfetacao</t>
  </si>
  <si>
    <t>tpEdificacao</t>
  </si>
  <si>
    <t>endereco</t>
  </si>
  <si>
    <t>leiAfetacao</t>
  </si>
  <si>
    <t>situacaoUso</t>
  </si>
  <si>
    <t>codUnidadeOrcamentaria</t>
  </si>
  <si>
    <t>areaTerreno</t>
  </si>
  <si>
    <t>areaConstruida</t>
  </si>
  <si>
    <t>vlIncorporacao</t>
  </si>
  <si>
    <t>dtEntrada</t>
  </si>
  <si>
    <t>dtUltimoInventario</t>
  </si>
  <si>
    <t>700201</t>
  </si>
  <si>
    <t>110101</t>
  </si>
  <si>
    <t>110103</t>
  </si>
  <si>
    <t>220101</t>
  </si>
  <si>
    <t>150101</t>
  </si>
  <si>
    <t>010101</t>
  </si>
  <si>
    <t>520301</t>
  </si>
  <si>
    <t>230701</t>
  </si>
  <si>
    <t>120101</t>
  </si>
  <si>
    <t>580201</t>
  </si>
  <si>
    <t>560201</t>
  </si>
  <si>
    <t>620301</t>
  </si>
  <si>
    <t>630201</t>
  </si>
  <si>
    <t>130101</t>
  </si>
  <si>
    <t>410101</t>
  </si>
  <si>
    <t>140101</t>
  </si>
  <si>
    <t>370101</t>
  </si>
  <si>
    <t>190101</t>
  </si>
  <si>
    <t>180101</t>
  </si>
  <si>
    <t>160101</t>
  </si>
  <si>
    <t>440101</t>
  </si>
  <si>
    <t>270101</t>
  </si>
  <si>
    <t>260101</t>
  </si>
  <si>
    <t>280101</t>
  </si>
  <si>
    <t>230101</t>
  </si>
  <si>
    <t>250101</t>
  </si>
  <si>
    <t>210101</t>
  </si>
  <si>
    <t>380101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</si>
</sst>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tabSelected="1" topLeftCell="B1" zoomScaleNormal="100" workbookViewId="0">
      <pane ySplit="1" topLeftCell="A2" activePane="bottomLeft" state="frozen"/>
      <selection pane="bottomLeft" activeCell="B12" sqref="B12"/>
    </sheetView>
  </sheetViews>
  <sheetFormatPr defaultRowHeight="12.75" x14ac:dyDescent="0.2"/>
  <cols>
    <col min="1" max="1" width="11.85546875" style="4" bestFit="1" customWidth="1"/>
    <col min="2" max="2" width="71.140625" style="4" customWidth="1"/>
    <col min="3" max="3" width="21" style="4" bestFit="1" customWidth="1"/>
    <col min="4" max="4" width="15.7109375" style="4" customWidth="1"/>
    <col min="5" max="5" width="11.85546875" style="4" bestFit="1" customWidth="1"/>
    <col min="6" max="6" width="15.7109375" style="4" customWidth="1"/>
    <col min="7" max="7" width="13.42578125" style="4" customWidth="1"/>
    <col min="8" max="8" width="98.5703125" style="4" bestFit="1" customWidth="1"/>
    <col min="9" max="9" width="20.28515625" style="4" bestFit="1" customWidth="1"/>
    <col min="10" max="10" width="15.7109375" style="4" customWidth="1"/>
    <col min="11" max="11" width="22" style="4" customWidth="1"/>
    <col min="12" max="16" width="15.7109375" style="4" customWidth="1"/>
    <col min="17" max="16384" width="9.140625" style="4"/>
  </cols>
  <sheetData>
    <row r="1" spans="1:16" s="2" customFormat="1" ht="25.5" customHeight="1" thickBot="1" x14ac:dyDescent="0.3">
      <c r="A1" s="13" t="s">
        <v>95</v>
      </c>
      <c r="B1" s="14" t="s">
        <v>27</v>
      </c>
      <c r="C1" s="14" t="s">
        <v>2</v>
      </c>
      <c r="D1" s="16" t="s">
        <v>137</v>
      </c>
      <c r="E1" s="15" t="s">
        <v>138</v>
      </c>
      <c r="F1" s="15" t="s">
        <v>139</v>
      </c>
      <c r="G1" s="15" t="s">
        <v>140</v>
      </c>
      <c r="H1" s="15" t="s">
        <v>141</v>
      </c>
      <c r="I1" s="15" t="s">
        <v>142</v>
      </c>
      <c r="J1" s="15" t="s">
        <v>143</v>
      </c>
      <c r="K1" s="15" t="s">
        <v>144</v>
      </c>
      <c r="L1" s="15" t="s">
        <v>145</v>
      </c>
      <c r="M1" s="15" t="s">
        <v>146</v>
      </c>
      <c r="N1" s="15" t="s">
        <v>147</v>
      </c>
      <c r="O1" s="15" t="s">
        <v>148</v>
      </c>
      <c r="P1" s="15" t="s">
        <v>149</v>
      </c>
    </row>
    <row r="2" spans="1:16" x14ac:dyDescent="0.2">
      <c r="A2" s="3" t="s">
        <v>63</v>
      </c>
      <c r="B2" s="3" t="str">
        <f>VLOOKUP(A2,Listas!A$3:C$30,3,0)</f>
        <v>Secretaria Municipal da Mulher, Assistência Social e Cidadania</v>
      </c>
      <c r="C2" s="5">
        <v>0</v>
      </c>
      <c r="D2" s="9">
        <v>135</v>
      </c>
      <c r="E2" s="10" t="s">
        <v>96</v>
      </c>
      <c r="F2" s="3" t="s">
        <v>96</v>
      </c>
      <c r="G2" s="3" t="s">
        <v>96</v>
      </c>
      <c r="H2" s="11" t="s">
        <v>102</v>
      </c>
      <c r="I2" s="3" t="s">
        <v>96</v>
      </c>
      <c r="J2" s="12" t="s">
        <v>96</v>
      </c>
      <c r="K2" s="9" t="str">
        <f>VLOOKUP(A2,Listas!A$3:C$30,2,0)</f>
        <v>370101</v>
      </c>
      <c r="L2" s="3" t="s">
        <v>96</v>
      </c>
      <c r="M2" s="3" t="s">
        <v>96</v>
      </c>
      <c r="N2" s="5" t="s">
        <v>96</v>
      </c>
      <c r="O2" s="3" t="s">
        <v>96</v>
      </c>
      <c r="P2" s="3" t="s">
        <v>96</v>
      </c>
    </row>
    <row r="3" spans="1:16" x14ac:dyDescent="0.2">
      <c r="A3" s="3" t="s">
        <v>63</v>
      </c>
      <c r="B3" s="3" t="str">
        <f>VLOOKUP(A3,Listas!A$3:C$30,3,0)</f>
        <v>Secretaria Municipal da Mulher, Assistência Social e Cidadania</v>
      </c>
      <c r="C3" s="5">
        <v>0</v>
      </c>
      <c r="D3" s="9">
        <v>136</v>
      </c>
      <c r="E3" s="10" t="s">
        <v>96</v>
      </c>
      <c r="F3" s="3" t="s">
        <v>96</v>
      </c>
      <c r="G3" s="3" t="s">
        <v>96</v>
      </c>
      <c r="H3" s="11" t="s">
        <v>103</v>
      </c>
      <c r="I3" s="3" t="s">
        <v>96</v>
      </c>
      <c r="J3" s="12" t="s">
        <v>96</v>
      </c>
      <c r="K3" s="9" t="str">
        <f>VLOOKUP(A3,Listas!A$3:C$30,2,0)</f>
        <v>370101</v>
      </c>
      <c r="L3" s="3" t="s">
        <v>96</v>
      </c>
      <c r="M3" s="3" t="s">
        <v>96</v>
      </c>
      <c r="N3" s="5" t="s">
        <v>96</v>
      </c>
      <c r="O3" s="3" t="s">
        <v>96</v>
      </c>
      <c r="P3" s="3" t="s">
        <v>96</v>
      </c>
    </row>
    <row r="4" spans="1:16" x14ac:dyDescent="0.2">
      <c r="A4" s="3" t="s">
        <v>63</v>
      </c>
      <c r="B4" s="3" t="str">
        <f>VLOOKUP(A4,Listas!A$3:C$30,3,0)</f>
        <v>Secretaria Municipal da Mulher, Assistência Social e Cidadania</v>
      </c>
      <c r="C4" s="5">
        <v>0</v>
      </c>
      <c r="D4" s="9">
        <v>137</v>
      </c>
      <c r="E4" s="10" t="s">
        <v>96</v>
      </c>
      <c r="F4" s="3" t="s">
        <v>96</v>
      </c>
      <c r="G4" s="3" t="s">
        <v>96</v>
      </c>
      <c r="H4" s="11" t="s">
        <v>83</v>
      </c>
      <c r="I4" s="3" t="s">
        <v>96</v>
      </c>
      <c r="J4" s="12" t="s">
        <v>96</v>
      </c>
      <c r="K4" s="9" t="str">
        <f>VLOOKUP(A4,Listas!A$3:C$30,2,0)</f>
        <v>370101</v>
      </c>
      <c r="L4" s="3" t="s">
        <v>96</v>
      </c>
      <c r="M4" s="3" t="s">
        <v>96</v>
      </c>
      <c r="N4" s="5" t="s">
        <v>96</v>
      </c>
      <c r="O4" s="3" t="s">
        <v>96</v>
      </c>
      <c r="P4" s="3" t="s">
        <v>96</v>
      </c>
    </row>
    <row r="5" spans="1:16" x14ac:dyDescent="0.2">
      <c r="A5" s="3" t="s">
        <v>63</v>
      </c>
      <c r="B5" s="3" t="str">
        <f>VLOOKUP(A5,Listas!A$3:C$30,3,0)</f>
        <v>Secretaria Municipal da Mulher, Assistência Social e Cidadania</v>
      </c>
      <c r="C5" s="5">
        <v>0</v>
      </c>
      <c r="D5" s="9">
        <v>138</v>
      </c>
      <c r="E5" s="10" t="s">
        <v>96</v>
      </c>
      <c r="F5" s="3" t="s">
        <v>96</v>
      </c>
      <c r="G5" s="3" t="s">
        <v>96</v>
      </c>
      <c r="H5" s="11" t="s">
        <v>84</v>
      </c>
      <c r="I5" s="3" t="s">
        <v>96</v>
      </c>
      <c r="J5" s="12" t="s">
        <v>96</v>
      </c>
      <c r="K5" s="9" t="str">
        <f>VLOOKUP(A5,Listas!A$3:C$30,2,0)</f>
        <v>370101</v>
      </c>
      <c r="L5" s="3" t="s">
        <v>96</v>
      </c>
      <c r="M5" s="3" t="s">
        <v>96</v>
      </c>
      <c r="N5" s="5" t="s">
        <v>96</v>
      </c>
      <c r="O5" s="3" t="s">
        <v>96</v>
      </c>
      <c r="P5" s="3" t="s">
        <v>96</v>
      </c>
    </row>
    <row r="6" spans="1:16" x14ac:dyDescent="0.2">
      <c r="A6" s="3" t="s">
        <v>63</v>
      </c>
      <c r="B6" s="3" t="str">
        <f>VLOOKUP(A6,Listas!A$3:C$30,3,0)</f>
        <v>Secretaria Municipal da Mulher, Assistência Social e Cidadania</v>
      </c>
      <c r="C6" s="5">
        <v>0</v>
      </c>
      <c r="D6" s="9">
        <v>139</v>
      </c>
      <c r="E6" s="10" t="s">
        <v>96</v>
      </c>
      <c r="F6" s="3" t="s">
        <v>96</v>
      </c>
      <c r="G6" s="3" t="s">
        <v>96</v>
      </c>
      <c r="H6" s="11" t="s">
        <v>104</v>
      </c>
      <c r="I6" s="3" t="s">
        <v>96</v>
      </c>
      <c r="J6" s="12" t="s">
        <v>96</v>
      </c>
      <c r="K6" s="9" t="str">
        <f>VLOOKUP(A6,Listas!A$3:C$30,2,0)</f>
        <v>370101</v>
      </c>
      <c r="L6" s="3" t="s">
        <v>96</v>
      </c>
      <c r="M6" s="3" t="s">
        <v>96</v>
      </c>
      <c r="N6" s="5" t="s">
        <v>96</v>
      </c>
      <c r="O6" s="3" t="s">
        <v>96</v>
      </c>
      <c r="P6" s="3" t="s">
        <v>96</v>
      </c>
    </row>
    <row r="7" spans="1:16" x14ac:dyDescent="0.2">
      <c r="A7" s="3" t="s">
        <v>63</v>
      </c>
      <c r="B7" s="3" t="str">
        <f>VLOOKUP(A7,Listas!A$3:C$30,3,0)</f>
        <v>Secretaria Municipal da Mulher, Assistência Social e Cidadania</v>
      </c>
      <c r="C7" s="5">
        <v>0</v>
      </c>
      <c r="D7" s="9">
        <v>140</v>
      </c>
      <c r="E7" s="10" t="s">
        <v>96</v>
      </c>
      <c r="F7" s="3" t="s">
        <v>96</v>
      </c>
      <c r="G7" s="3" t="s">
        <v>96</v>
      </c>
      <c r="H7" s="11" t="s">
        <v>105</v>
      </c>
      <c r="I7" s="3" t="s">
        <v>96</v>
      </c>
      <c r="J7" s="12" t="s">
        <v>96</v>
      </c>
      <c r="K7" s="9" t="str">
        <f>VLOOKUP(A7,Listas!A$3:C$30,2,0)</f>
        <v>370101</v>
      </c>
      <c r="L7" s="3" t="s">
        <v>96</v>
      </c>
      <c r="M7" s="3" t="s">
        <v>96</v>
      </c>
      <c r="N7" s="5" t="s">
        <v>96</v>
      </c>
      <c r="O7" s="3" t="s">
        <v>96</v>
      </c>
      <c r="P7" s="3" t="s">
        <v>96</v>
      </c>
    </row>
    <row r="8" spans="1:16" x14ac:dyDescent="0.2">
      <c r="A8" s="3" t="s">
        <v>63</v>
      </c>
      <c r="B8" s="3" t="str">
        <f>VLOOKUP(A8,Listas!A$3:C$30,3,0)</f>
        <v>Secretaria Municipal da Mulher, Assistência Social e Cidadania</v>
      </c>
      <c r="C8" s="5">
        <v>0</v>
      </c>
      <c r="D8" s="9">
        <v>141</v>
      </c>
      <c r="E8" s="10" t="s">
        <v>96</v>
      </c>
      <c r="F8" s="3" t="s">
        <v>96</v>
      </c>
      <c r="G8" s="3" t="s">
        <v>96</v>
      </c>
      <c r="H8" s="11" t="s">
        <v>106</v>
      </c>
      <c r="I8" s="3" t="s">
        <v>96</v>
      </c>
      <c r="J8" s="12" t="s">
        <v>96</v>
      </c>
      <c r="K8" s="9" t="str">
        <f>VLOOKUP(A8,Listas!A$3:C$30,2,0)</f>
        <v>370101</v>
      </c>
      <c r="L8" s="3" t="s">
        <v>96</v>
      </c>
      <c r="M8" s="3" t="s">
        <v>96</v>
      </c>
      <c r="N8" s="5" t="s">
        <v>96</v>
      </c>
      <c r="O8" s="3" t="s">
        <v>96</v>
      </c>
      <c r="P8" s="3" t="s">
        <v>96</v>
      </c>
    </row>
    <row r="9" spans="1:16" x14ac:dyDescent="0.2">
      <c r="A9" s="3" t="s">
        <v>63</v>
      </c>
      <c r="B9" s="3" t="str">
        <f>VLOOKUP(A9,Listas!A$3:C$30,3,0)</f>
        <v>Secretaria Municipal da Mulher, Assistência Social e Cidadania</v>
      </c>
      <c r="C9" s="5">
        <v>0</v>
      </c>
      <c r="D9" s="9">
        <v>142</v>
      </c>
      <c r="E9" s="10" t="s">
        <v>96</v>
      </c>
      <c r="F9" s="3" t="s">
        <v>96</v>
      </c>
      <c r="G9" s="3" t="s">
        <v>96</v>
      </c>
      <c r="H9" s="11" t="s">
        <v>107</v>
      </c>
      <c r="I9" s="3" t="s">
        <v>96</v>
      </c>
      <c r="J9" s="12" t="s">
        <v>96</v>
      </c>
      <c r="K9" s="9" t="str">
        <f>VLOOKUP(A9,Listas!A$3:C$30,2,0)</f>
        <v>370101</v>
      </c>
      <c r="L9" s="3" t="s">
        <v>96</v>
      </c>
      <c r="M9" s="3" t="s">
        <v>96</v>
      </c>
      <c r="N9" s="5" t="s">
        <v>96</v>
      </c>
      <c r="O9" s="3" t="s">
        <v>96</v>
      </c>
      <c r="P9" s="3" t="s">
        <v>96</v>
      </c>
    </row>
    <row r="10" spans="1:16" x14ac:dyDescent="0.2">
      <c r="A10" s="3" t="s">
        <v>63</v>
      </c>
      <c r="B10" s="3" t="str">
        <f>VLOOKUP(A10,Listas!A$3:C$30,3,0)</f>
        <v>Secretaria Municipal da Mulher, Assistência Social e Cidadania</v>
      </c>
      <c r="C10" s="5">
        <v>0</v>
      </c>
      <c r="D10" s="9">
        <v>143</v>
      </c>
      <c r="E10" s="10" t="s">
        <v>96</v>
      </c>
      <c r="F10" s="3" t="s">
        <v>96</v>
      </c>
      <c r="G10" s="3" t="s">
        <v>96</v>
      </c>
      <c r="H10" s="11" t="s">
        <v>108</v>
      </c>
      <c r="I10" s="3" t="s">
        <v>96</v>
      </c>
      <c r="J10" s="12" t="s">
        <v>96</v>
      </c>
      <c r="K10" s="9" t="str">
        <f>VLOOKUP(A10,Listas!A$3:C$30,2,0)</f>
        <v>370101</v>
      </c>
      <c r="L10" s="3" t="s">
        <v>96</v>
      </c>
      <c r="M10" s="3" t="s">
        <v>96</v>
      </c>
      <c r="N10" s="5" t="s">
        <v>96</v>
      </c>
      <c r="O10" s="3" t="s">
        <v>96</v>
      </c>
      <c r="P10" s="3" t="s">
        <v>96</v>
      </c>
    </row>
    <row r="11" spans="1:16" x14ac:dyDescent="0.2">
      <c r="A11" s="3" t="s">
        <v>63</v>
      </c>
      <c r="B11" s="3" t="str">
        <f>VLOOKUP(A11,Listas!A$3:C$30,3,0)</f>
        <v>Secretaria Municipal da Mulher, Assistência Social e Cidadania</v>
      </c>
      <c r="C11" s="5">
        <v>0</v>
      </c>
      <c r="D11" s="9">
        <v>144</v>
      </c>
      <c r="E11" s="10" t="s">
        <v>96</v>
      </c>
      <c r="F11" s="3" t="s">
        <v>96</v>
      </c>
      <c r="G11" s="3" t="s">
        <v>96</v>
      </c>
      <c r="H11" s="11" t="s">
        <v>109</v>
      </c>
      <c r="I11" s="3" t="s">
        <v>96</v>
      </c>
      <c r="J11" s="12" t="s">
        <v>96</v>
      </c>
      <c r="K11" s="9" t="str">
        <f>VLOOKUP(A11,Listas!A$3:C$30,2,0)</f>
        <v>370101</v>
      </c>
      <c r="L11" s="3" t="s">
        <v>96</v>
      </c>
      <c r="M11" s="3" t="s">
        <v>96</v>
      </c>
      <c r="N11" s="5" t="s">
        <v>96</v>
      </c>
      <c r="O11" s="3" t="s">
        <v>96</v>
      </c>
      <c r="P11" s="3" t="s">
        <v>96</v>
      </c>
    </row>
    <row r="12" spans="1:16" x14ac:dyDescent="0.2">
      <c r="A12" s="3" t="s">
        <v>63</v>
      </c>
      <c r="B12" s="3" t="str">
        <f>VLOOKUP(A12,Listas!A$3:C$30,3,0)</f>
        <v>Secretaria Municipal da Mulher, Assistência Social e Cidadania</v>
      </c>
      <c r="C12" s="5">
        <v>0</v>
      </c>
      <c r="D12" s="9">
        <v>145</v>
      </c>
      <c r="E12" s="10" t="s">
        <v>96</v>
      </c>
      <c r="F12" s="3" t="s">
        <v>96</v>
      </c>
      <c r="G12" s="3" t="s">
        <v>96</v>
      </c>
      <c r="H12" s="11" t="s">
        <v>110</v>
      </c>
      <c r="I12" s="3" t="s">
        <v>96</v>
      </c>
      <c r="J12" s="12" t="s">
        <v>96</v>
      </c>
      <c r="K12" s="9" t="str">
        <f>VLOOKUP(A12,Listas!A$3:C$30,2,0)</f>
        <v>370101</v>
      </c>
      <c r="L12" s="3" t="s">
        <v>96</v>
      </c>
      <c r="M12" s="3" t="s">
        <v>96</v>
      </c>
      <c r="N12" s="5" t="s">
        <v>96</v>
      </c>
      <c r="O12" s="3" t="s">
        <v>96</v>
      </c>
      <c r="P12" s="3" t="s">
        <v>96</v>
      </c>
    </row>
    <row r="13" spans="1:16" x14ac:dyDescent="0.2">
      <c r="A13" s="3" t="s">
        <v>63</v>
      </c>
      <c r="B13" s="3" t="str">
        <f>VLOOKUP(A13,Listas!A$3:C$30,3,0)</f>
        <v>Secretaria Municipal da Mulher, Assistência Social e Cidadania</v>
      </c>
      <c r="C13" s="5">
        <v>0</v>
      </c>
      <c r="D13" s="9">
        <v>146</v>
      </c>
      <c r="E13" s="10" t="s">
        <v>96</v>
      </c>
      <c r="F13" s="3" t="s">
        <v>96</v>
      </c>
      <c r="G13" s="3" t="s">
        <v>96</v>
      </c>
      <c r="H13" s="11" t="s">
        <v>111</v>
      </c>
      <c r="I13" s="3" t="s">
        <v>96</v>
      </c>
      <c r="J13" s="12" t="s">
        <v>96</v>
      </c>
      <c r="K13" s="9" t="str">
        <f>VLOOKUP(A13,Listas!A$3:C$30,2,0)</f>
        <v>370101</v>
      </c>
      <c r="L13" s="3" t="s">
        <v>96</v>
      </c>
      <c r="M13" s="3" t="s">
        <v>96</v>
      </c>
      <c r="N13" s="5" t="s">
        <v>96</v>
      </c>
      <c r="O13" s="3" t="s">
        <v>96</v>
      </c>
      <c r="P13" s="3" t="s">
        <v>96</v>
      </c>
    </row>
    <row r="14" spans="1:16" x14ac:dyDescent="0.2">
      <c r="A14" s="3" t="s">
        <v>63</v>
      </c>
      <c r="B14" s="3" t="str">
        <f>VLOOKUP(A14,Listas!A$3:C$30,3,0)</f>
        <v>Secretaria Municipal da Mulher, Assistência Social e Cidadania</v>
      </c>
      <c r="C14" s="5">
        <v>0</v>
      </c>
      <c r="D14" s="9">
        <v>147</v>
      </c>
      <c r="E14" s="10" t="s">
        <v>96</v>
      </c>
      <c r="F14" s="3" t="s">
        <v>96</v>
      </c>
      <c r="G14" s="3" t="s">
        <v>96</v>
      </c>
      <c r="H14" s="11" t="s">
        <v>112</v>
      </c>
      <c r="I14" s="3" t="s">
        <v>96</v>
      </c>
      <c r="J14" s="12" t="s">
        <v>96</v>
      </c>
      <c r="K14" s="9" t="str">
        <f>VLOOKUP(A14,Listas!A$3:C$30,2,0)</f>
        <v>370101</v>
      </c>
      <c r="L14" s="3" t="s">
        <v>96</v>
      </c>
      <c r="M14" s="3" t="s">
        <v>96</v>
      </c>
      <c r="N14" s="5" t="s">
        <v>96</v>
      </c>
      <c r="O14" s="3" t="s">
        <v>96</v>
      </c>
      <c r="P14" s="3" t="s">
        <v>96</v>
      </c>
    </row>
    <row r="15" spans="1:16" x14ac:dyDescent="0.2">
      <c r="A15" s="3" t="s">
        <v>63</v>
      </c>
      <c r="B15" s="3" t="str">
        <f>VLOOKUP(A15,Listas!A$3:C$30,3,0)</f>
        <v>Secretaria Municipal da Mulher, Assistência Social e Cidadania</v>
      </c>
      <c r="C15" s="5">
        <v>0</v>
      </c>
      <c r="D15" s="9">
        <v>148</v>
      </c>
      <c r="E15" s="10" t="s">
        <v>96</v>
      </c>
      <c r="F15" s="3" t="s">
        <v>96</v>
      </c>
      <c r="G15" s="3" t="s">
        <v>96</v>
      </c>
      <c r="H15" s="11" t="s">
        <v>85</v>
      </c>
      <c r="I15" s="3" t="s">
        <v>96</v>
      </c>
      <c r="J15" s="12" t="s">
        <v>96</v>
      </c>
      <c r="K15" s="9" t="str">
        <f>VLOOKUP(A15,Listas!A$3:C$30,2,0)</f>
        <v>370101</v>
      </c>
      <c r="L15" s="3" t="s">
        <v>96</v>
      </c>
      <c r="M15" s="3" t="s">
        <v>96</v>
      </c>
      <c r="N15" s="5" t="s">
        <v>96</v>
      </c>
      <c r="O15" s="3" t="s">
        <v>96</v>
      </c>
      <c r="P15" s="3" t="s">
        <v>96</v>
      </c>
    </row>
    <row r="16" spans="1:16" x14ac:dyDescent="0.2">
      <c r="A16" s="3" t="s">
        <v>63</v>
      </c>
      <c r="B16" s="3" t="str">
        <f>VLOOKUP(A16,Listas!A$3:C$30,3,0)</f>
        <v>Secretaria Municipal da Mulher, Assistência Social e Cidadania</v>
      </c>
      <c r="C16" s="5">
        <v>0</v>
      </c>
      <c r="D16" s="9">
        <v>149</v>
      </c>
      <c r="E16" s="10" t="s">
        <v>96</v>
      </c>
      <c r="F16" s="3" t="s">
        <v>96</v>
      </c>
      <c r="G16" s="3" t="s">
        <v>96</v>
      </c>
      <c r="H16" s="11" t="s">
        <v>86</v>
      </c>
      <c r="I16" s="3" t="s">
        <v>96</v>
      </c>
      <c r="J16" s="12" t="s">
        <v>96</v>
      </c>
      <c r="K16" s="9" t="str">
        <f>VLOOKUP(A16,Listas!A$3:C$30,2,0)</f>
        <v>370101</v>
      </c>
      <c r="L16" s="3" t="s">
        <v>96</v>
      </c>
      <c r="M16" s="3" t="s">
        <v>96</v>
      </c>
      <c r="N16" s="5" t="s">
        <v>96</v>
      </c>
      <c r="O16" s="3" t="s">
        <v>96</v>
      </c>
      <c r="P16" s="3" t="s">
        <v>96</v>
      </c>
    </row>
    <row r="17" spans="1:16" x14ac:dyDescent="0.2">
      <c r="A17" s="3" t="s">
        <v>63</v>
      </c>
      <c r="B17" s="3" t="str">
        <f>VLOOKUP(A17,Listas!A$3:C$30,3,0)</f>
        <v>Secretaria Municipal da Mulher, Assistência Social e Cidadania</v>
      </c>
      <c r="C17" s="5">
        <v>0</v>
      </c>
      <c r="D17" s="9">
        <v>150</v>
      </c>
      <c r="E17" s="10" t="s">
        <v>96</v>
      </c>
      <c r="F17" s="3" t="s">
        <v>96</v>
      </c>
      <c r="G17" s="3" t="s">
        <v>96</v>
      </c>
      <c r="H17" s="11" t="s">
        <v>87</v>
      </c>
      <c r="I17" s="3" t="s">
        <v>96</v>
      </c>
      <c r="J17" s="12" t="s">
        <v>96</v>
      </c>
      <c r="K17" s="9" t="str">
        <f>VLOOKUP(A17,Listas!A$3:C$30,2,0)</f>
        <v>370101</v>
      </c>
      <c r="L17" s="3" t="s">
        <v>96</v>
      </c>
      <c r="M17" s="3" t="s">
        <v>96</v>
      </c>
      <c r="N17" s="5" t="s">
        <v>96</v>
      </c>
      <c r="O17" s="3" t="s">
        <v>96</v>
      </c>
      <c r="P17" s="3" t="s">
        <v>96</v>
      </c>
    </row>
    <row r="18" spans="1:16" x14ac:dyDescent="0.2">
      <c r="A18" s="3" t="s">
        <v>63</v>
      </c>
      <c r="B18" s="3" t="str">
        <f>VLOOKUP(A18,Listas!A$3:C$30,3,0)</f>
        <v>Secretaria Municipal da Mulher, Assistência Social e Cidadania</v>
      </c>
      <c r="C18" s="5">
        <v>0</v>
      </c>
      <c r="D18" s="9">
        <v>151</v>
      </c>
      <c r="E18" s="10" t="s">
        <v>96</v>
      </c>
      <c r="F18" s="3" t="s">
        <v>96</v>
      </c>
      <c r="G18" s="3" t="s">
        <v>96</v>
      </c>
      <c r="H18" s="11" t="s">
        <v>88</v>
      </c>
      <c r="I18" s="3" t="s">
        <v>96</v>
      </c>
      <c r="J18" s="12" t="s">
        <v>96</v>
      </c>
      <c r="K18" s="9" t="str">
        <f>VLOOKUP(A18,Listas!A$3:C$30,2,0)</f>
        <v>370101</v>
      </c>
      <c r="L18" s="3" t="s">
        <v>96</v>
      </c>
      <c r="M18" s="3" t="s">
        <v>96</v>
      </c>
      <c r="N18" s="5" t="s">
        <v>96</v>
      </c>
      <c r="O18" s="3" t="s">
        <v>96</v>
      </c>
      <c r="P18" s="3" t="s">
        <v>96</v>
      </c>
    </row>
    <row r="19" spans="1:16" x14ac:dyDescent="0.2">
      <c r="A19" s="3" t="s">
        <v>63</v>
      </c>
      <c r="B19" s="3" t="str">
        <f>VLOOKUP(A19,Listas!A$3:C$30,3,0)</f>
        <v>Secretaria Municipal da Mulher, Assistência Social e Cidadania</v>
      </c>
      <c r="C19" s="5">
        <v>0</v>
      </c>
      <c r="D19" s="9">
        <v>152</v>
      </c>
      <c r="E19" s="10" t="s">
        <v>96</v>
      </c>
      <c r="F19" s="3" t="s">
        <v>96</v>
      </c>
      <c r="G19" s="3" t="s">
        <v>96</v>
      </c>
      <c r="H19" s="11" t="s">
        <v>113</v>
      </c>
      <c r="I19" s="3" t="s">
        <v>96</v>
      </c>
      <c r="J19" s="12" t="s">
        <v>96</v>
      </c>
      <c r="K19" s="9" t="str">
        <f>VLOOKUP(A19,Listas!A$3:C$30,2,0)</f>
        <v>370101</v>
      </c>
      <c r="L19" s="3" t="s">
        <v>96</v>
      </c>
      <c r="M19" s="3" t="s">
        <v>96</v>
      </c>
      <c r="N19" s="5" t="s">
        <v>96</v>
      </c>
      <c r="O19" s="3" t="s">
        <v>96</v>
      </c>
      <c r="P19" s="3" t="s">
        <v>96</v>
      </c>
    </row>
    <row r="20" spans="1:16" x14ac:dyDescent="0.2">
      <c r="A20" s="3" t="s">
        <v>63</v>
      </c>
      <c r="B20" s="3" t="str">
        <f>VLOOKUP(A20,Listas!A$3:C$30,3,0)</f>
        <v>Secretaria Municipal da Mulher, Assistência Social e Cidadania</v>
      </c>
      <c r="C20" s="5">
        <v>0</v>
      </c>
      <c r="D20" s="9">
        <v>153</v>
      </c>
      <c r="E20" s="10" t="s">
        <v>96</v>
      </c>
      <c r="F20" s="3" t="s">
        <v>96</v>
      </c>
      <c r="G20" s="3" t="s">
        <v>96</v>
      </c>
      <c r="H20" s="11" t="s">
        <v>114</v>
      </c>
      <c r="I20" s="3" t="s">
        <v>96</v>
      </c>
      <c r="J20" s="12" t="s">
        <v>96</v>
      </c>
      <c r="K20" s="9" t="str">
        <f>VLOOKUP(A20,Listas!A$3:C$30,2,0)</f>
        <v>370101</v>
      </c>
      <c r="L20" s="3" t="s">
        <v>96</v>
      </c>
      <c r="M20" s="3" t="s">
        <v>96</v>
      </c>
      <c r="N20" s="5" t="s">
        <v>96</v>
      </c>
      <c r="O20" s="3" t="s">
        <v>96</v>
      </c>
      <c r="P20" s="3" t="s">
        <v>96</v>
      </c>
    </row>
    <row r="21" spans="1:16" x14ac:dyDescent="0.2">
      <c r="A21" s="3" t="s">
        <v>63</v>
      </c>
      <c r="B21" s="3" t="str">
        <f>VLOOKUP(A21,Listas!A$3:C$30,3,0)</f>
        <v>Secretaria Municipal da Mulher, Assistência Social e Cidadania</v>
      </c>
      <c r="C21" s="5">
        <v>0</v>
      </c>
      <c r="D21" s="9">
        <v>154</v>
      </c>
      <c r="E21" s="10" t="s">
        <v>96</v>
      </c>
      <c r="F21" s="3" t="s">
        <v>96</v>
      </c>
      <c r="G21" s="3" t="s">
        <v>96</v>
      </c>
      <c r="H21" s="11" t="s">
        <v>115</v>
      </c>
      <c r="I21" s="3" t="s">
        <v>96</v>
      </c>
      <c r="J21" s="12" t="s">
        <v>96</v>
      </c>
      <c r="K21" s="9" t="str">
        <f>VLOOKUP(A21,Listas!A$3:C$30,2,0)</f>
        <v>370101</v>
      </c>
      <c r="L21" s="3" t="s">
        <v>96</v>
      </c>
      <c r="M21" s="3" t="s">
        <v>96</v>
      </c>
      <c r="N21" s="5" t="s">
        <v>96</v>
      </c>
      <c r="O21" s="3" t="s">
        <v>96</v>
      </c>
      <c r="P21" s="3" t="s">
        <v>96</v>
      </c>
    </row>
    <row r="22" spans="1:16" x14ac:dyDescent="0.2">
      <c r="A22" s="3" t="s">
        <v>63</v>
      </c>
      <c r="B22" s="3" t="str">
        <f>VLOOKUP(A22,Listas!A$3:C$30,3,0)</f>
        <v>Secretaria Municipal da Mulher, Assistência Social e Cidadania</v>
      </c>
      <c r="C22" s="5">
        <v>0</v>
      </c>
      <c r="D22" s="9">
        <v>155</v>
      </c>
      <c r="E22" s="10" t="s">
        <v>96</v>
      </c>
      <c r="F22" s="3" t="s">
        <v>96</v>
      </c>
      <c r="G22" s="3" t="s">
        <v>96</v>
      </c>
      <c r="H22" s="11" t="s">
        <v>116</v>
      </c>
      <c r="I22" s="3" t="s">
        <v>96</v>
      </c>
      <c r="J22" s="12" t="s">
        <v>96</v>
      </c>
      <c r="K22" s="9" t="str">
        <f>VLOOKUP(A22,Listas!A$3:C$30,2,0)</f>
        <v>370101</v>
      </c>
      <c r="L22" s="3" t="s">
        <v>96</v>
      </c>
      <c r="M22" s="3" t="s">
        <v>96</v>
      </c>
      <c r="N22" s="5" t="s">
        <v>96</v>
      </c>
      <c r="O22" s="3" t="s">
        <v>96</v>
      </c>
      <c r="P22" s="3" t="s">
        <v>96</v>
      </c>
    </row>
    <row r="23" spans="1:16" x14ac:dyDescent="0.2">
      <c r="A23" s="3" t="s">
        <v>63</v>
      </c>
      <c r="B23" s="3" t="str">
        <f>VLOOKUP(A23,Listas!A$3:C$30,3,0)</f>
        <v>Secretaria Municipal da Mulher, Assistência Social e Cidadania</v>
      </c>
      <c r="C23" s="5">
        <v>0</v>
      </c>
      <c r="D23" s="9">
        <v>156</v>
      </c>
      <c r="E23" s="10" t="s">
        <v>96</v>
      </c>
      <c r="F23" s="3" t="s">
        <v>96</v>
      </c>
      <c r="G23" s="3" t="s">
        <v>96</v>
      </c>
      <c r="H23" s="11" t="s">
        <v>117</v>
      </c>
      <c r="I23" s="3" t="s">
        <v>96</v>
      </c>
      <c r="J23" s="12" t="s">
        <v>96</v>
      </c>
      <c r="K23" s="9" t="str">
        <f>VLOOKUP(A23,Listas!A$3:C$30,2,0)</f>
        <v>370101</v>
      </c>
      <c r="L23" s="3" t="s">
        <v>96</v>
      </c>
      <c r="M23" s="3" t="s">
        <v>96</v>
      </c>
      <c r="N23" s="5" t="s">
        <v>96</v>
      </c>
      <c r="O23" s="3" t="s">
        <v>96</v>
      </c>
      <c r="P23" s="3" t="s">
        <v>96</v>
      </c>
    </row>
    <row r="24" spans="1:16" x14ac:dyDescent="0.2">
      <c r="A24" s="3" t="s">
        <v>63</v>
      </c>
      <c r="B24" s="3" t="str">
        <f>VLOOKUP(A24,Listas!A$3:C$30,3,0)</f>
        <v>Secretaria Municipal da Mulher, Assistência Social e Cidadania</v>
      </c>
      <c r="C24" s="5">
        <v>0</v>
      </c>
      <c r="D24" s="9">
        <v>157</v>
      </c>
      <c r="E24" s="10" t="s">
        <v>96</v>
      </c>
      <c r="F24" s="3" t="s">
        <v>96</v>
      </c>
      <c r="G24" s="3" t="s">
        <v>96</v>
      </c>
      <c r="H24" s="11" t="s">
        <v>89</v>
      </c>
      <c r="I24" s="3" t="s">
        <v>96</v>
      </c>
      <c r="J24" s="12" t="s">
        <v>96</v>
      </c>
      <c r="K24" s="9" t="str">
        <f>VLOOKUP(A24,Listas!A$3:C$30,2,0)</f>
        <v>370101</v>
      </c>
      <c r="L24" s="3" t="s">
        <v>96</v>
      </c>
      <c r="M24" s="3" t="s">
        <v>96</v>
      </c>
      <c r="N24" s="5" t="s">
        <v>96</v>
      </c>
      <c r="O24" s="3" t="s">
        <v>96</v>
      </c>
      <c r="P24" s="3" t="s">
        <v>96</v>
      </c>
    </row>
    <row r="25" spans="1:16" x14ac:dyDescent="0.2">
      <c r="A25" s="3" t="s">
        <v>63</v>
      </c>
      <c r="B25" s="3" t="str">
        <f>VLOOKUP(A25,Listas!A$3:C$30,3,0)</f>
        <v>Secretaria Municipal da Mulher, Assistência Social e Cidadania</v>
      </c>
      <c r="C25" s="5">
        <v>0</v>
      </c>
      <c r="D25" s="9">
        <v>158</v>
      </c>
      <c r="E25" s="10" t="s">
        <v>96</v>
      </c>
      <c r="F25" s="3" t="s">
        <v>96</v>
      </c>
      <c r="G25" s="3" t="s">
        <v>96</v>
      </c>
      <c r="H25" s="11" t="s">
        <v>118</v>
      </c>
      <c r="I25" s="3" t="s">
        <v>96</v>
      </c>
      <c r="J25" s="12" t="s">
        <v>96</v>
      </c>
      <c r="K25" s="9" t="str">
        <f>VLOOKUP(A25,Listas!A$3:C$30,2,0)</f>
        <v>370101</v>
      </c>
      <c r="L25" s="3" t="s">
        <v>96</v>
      </c>
      <c r="M25" s="3" t="s">
        <v>96</v>
      </c>
      <c r="N25" s="5" t="s">
        <v>96</v>
      </c>
      <c r="O25" s="3" t="s">
        <v>96</v>
      </c>
      <c r="P25" s="3" t="s">
        <v>96</v>
      </c>
    </row>
    <row r="26" spans="1:16" x14ac:dyDescent="0.2">
      <c r="A26" s="3" t="s">
        <v>63</v>
      </c>
      <c r="B26" s="3" t="str">
        <f>VLOOKUP(A26,Listas!A$3:C$30,3,0)</f>
        <v>Secretaria Municipal da Mulher, Assistência Social e Cidadania</v>
      </c>
      <c r="C26" s="5">
        <v>0</v>
      </c>
      <c r="D26" s="17">
        <v>159</v>
      </c>
      <c r="E26" s="10" t="s">
        <v>96</v>
      </c>
      <c r="F26" s="3" t="s">
        <v>96</v>
      </c>
      <c r="G26" s="3" t="s">
        <v>96</v>
      </c>
      <c r="H26" s="11" t="s">
        <v>119</v>
      </c>
      <c r="I26" s="3" t="s">
        <v>96</v>
      </c>
      <c r="J26" s="12" t="s">
        <v>96</v>
      </c>
      <c r="K26" s="9" t="str">
        <f>VLOOKUP(A26,Listas!A$3:C$30,2,0)</f>
        <v>370101</v>
      </c>
      <c r="L26" s="3" t="s">
        <v>96</v>
      </c>
      <c r="M26" s="3" t="s">
        <v>96</v>
      </c>
      <c r="N26" s="5" t="s">
        <v>96</v>
      </c>
      <c r="O26" s="3" t="s">
        <v>96</v>
      </c>
      <c r="P26" s="3" t="s">
        <v>96</v>
      </c>
    </row>
    <row r="27" spans="1:16" x14ac:dyDescent="0.2">
      <c r="A27" s="3" t="s">
        <v>63</v>
      </c>
      <c r="B27" s="3" t="str">
        <f>VLOOKUP(A27,Listas!A$3:C$30,3,0)</f>
        <v>Secretaria Municipal da Mulher, Assistência Social e Cidadania</v>
      </c>
      <c r="C27" s="5">
        <v>0</v>
      </c>
      <c r="D27" s="17">
        <v>160</v>
      </c>
      <c r="E27" s="10" t="s">
        <v>96</v>
      </c>
      <c r="F27" s="3" t="s">
        <v>96</v>
      </c>
      <c r="G27" s="3" t="s">
        <v>96</v>
      </c>
      <c r="H27" s="11" t="s">
        <v>120</v>
      </c>
      <c r="I27" s="3" t="s">
        <v>96</v>
      </c>
      <c r="J27" s="12" t="s">
        <v>96</v>
      </c>
      <c r="K27" s="9" t="str">
        <f>VLOOKUP(A27,Listas!A$3:C$30,2,0)</f>
        <v>370101</v>
      </c>
      <c r="L27" s="3" t="s">
        <v>96</v>
      </c>
      <c r="M27" s="3" t="s">
        <v>96</v>
      </c>
      <c r="N27" s="5" t="s">
        <v>96</v>
      </c>
      <c r="O27" s="3" t="s">
        <v>96</v>
      </c>
      <c r="P27" s="3" t="s">
        <v>96</v>
      </c>
    </row>
    <row r="28" spans="1:16" x14ac:dyDescent="0.2">
      <c r="A28" s="3" t="s">
        <v>63</v>
      </c>
      <c r="B28" s="3" t="str">
        <f>VLOOKUP(A28,Listas!A$3:C$30,3,0)</f>
        <v>Secretaria Municipal da Mulher, Assistência Social e Cidadania</v>
      </c>
      <c r="C28" s="5">
        <v>0</v>
      </c>
      <c r="D28" s="17">
        <v>161</v>
      </c>
      <c r="E28" s="10" t="s">
        <v>96</v>
      </c>
      <c r="F28" s="3" t="s">
        <v>96</v>
      </c>
      <c r="G28" s="3" t="s">
        <v>96</v>
      </c>
      <c r="H28" s="11" t="s">
        <v>121</v>
      </c>
      <c r="I28" s="3" t="s">
        <v>96</v>
      </c>
      <c r="J28" s="12" t="s">
        <v>96</v>
      </c>
      <c r="K28" s="9" t="str">
        <f>VLOOKUP(A28,Listas!A$3:C$30,2,0)</f>
        <v>370101</v>
      </c>
      <c r="L28" s="3" t="s">
        <v>96</v>
      </c>
      <c r="M28" s="3" t="s">
        <v>96</v>
      </c>
      <c r="N28" s="5" t="s">
        <v>96</v>
      </c>
      <c r="O28" s="3" t="s">
        <v>96</v>
      </c>
      <c r="P28" s="3" t="s">
        <v>96</v>
      </c>
    </row>
    <row r="29" spans="1:16" x14ac:dyDescent="0.2">
      <c r="A29" s="3" t="s">
        <v>63</v>
      </c>
      <c r="B29" s="3" t="str">
        <f>VLOOKUP(A29,Listas!A$3:C$30,3,0)</f>
        <v>Secretaria Municipal da Mulher, Assistência Social e Cidadania</v>
      </c>
      <c r="C29" s="5">
        <v>0</v>
      </c>
      <c r="D29" s="17">
        <v>162</v>
      </c>
      <c r="E29" s="10" t="s">
        <v>96</v>
      </c>
      <c r="F29" s="3" t="s">
        <v>96</v>
      </c>
      <c r="G29" s="3" t="s">
        <v>96</v>
      </c>
      <c r="H29" s="11" t="s">
        <v>90</v>
      </c>
      <c r="I29" s="3" t="s">
        <v>96</v>
      </c>
      <c r="J29" s="12" t="s">
        <v>96</v>
      </c>
      <c r="K29" s="9" t="str">
        <f>VLOOKUP(A29,Listas!A$3:C$30,2,0)</f>
        <v>370101</v>
      </c>
      <c r="L29" s="3" t="s">
        <v>96</v>
      </c>
      <c r="M29" s="3" t="s">
        <v>96</v>
      </c>
      <c r="N29" s="5" t="s">
        <v>96</v>
      </c>
      <c r="O29" s="3" t="s">
        <v>96</v>
      </c>
      <c r="P29" s="3" t="s">
        <v>96</v>
      </c>
    </row>
    <row r="30" spans="1:16" x14ac:dyDescent="0.2">
      <c r="A30" s="3" t="s">
        <v>63</v>
      </c>
      <c r="B30" s="3" t="str">
        <f>VLOOKUP(A30,Listas!A$3:C$30,3,0)</f>
        <v>Secretaria Municipal da Mulher, Assistência Social e Cidadania</v>
      </c>
      <c r="C30" s="5">
        <v>0</v>
      </c>
      <c r="D30" s="17">
        <v>163</v>
      </c>
      <c r="E30" s="10" t="s">
        <v>96</v>
      </c>
      <c r="F30" s="3" t="s">
        <v>96</v>
      </c>
      <c r="G30" s="3" t="s">
        <v>96</v>
      </c>
      <c r="H30" s="11" t="s">
        <v>122</v>
      </c>
      <c r="I30" s="3" t="s">
        <v>96</v>
      </c>
      <c r="J30" s="12" t="s">
        <v>96</v>
      </c>
      <c r="K30" s="9" t="str">
        <f>VLOOKUP(A30,Listas!A$3:C$30,2,0)</f>
        <v>370101</v>
      </c>
      <c r="L30" s="3" t="s">
        <v>96</v>
      </c>
      <c r="M30" s="3" t="s">
        <v>96</v>
      </c>
      <c r="N30" s="5" t="s">
        <v>96</v>
      </c>
      <c r="O30" s="3" t="s">
        <v>96</v>
      </c>
      <c r="P30" s="3" t="s">
        <v>96</v>
      </c>
    </row>
    <row r="31" spans="1:16" x14ac:dyDescent="0.2">
      <c r="A31" s="3" t="s">
        <v>63</v>
      </c>
      <c r="B31" s="3" t="str">
        <f>VLOOKUP(A31,Listas!A$3:C$30,3,0)</f>
        <v>Secretaria Municipal da Mulher, Assistência Social e Cidadania</v>
      </c>
      <c r="C31" s="5">
        <v>0</v>
      </c>
      <c r="D31" s="17">
        <v>164</v>
      </c>
      <c r="E31" s="10" t="s">
        <v>96</v>
      </c>
      <c r="F31" s="3" t="s">
        <v>96</v>
      </c>
      <c r="G31" s="3" t="s">
        <v>96</v>
      </c>
      <c r="H31" s="11" t="s">
        <v>123</v>
      </c>
      <c r="I31" s="3" t="s">
        <v>96</v>
      </c>
      <c r="J31" s="12" t="s">
        <v>96</v>
      </c>
      <c r="K31" s="9" t="str">
        <f>VLOOKUP(A31,Listas!A$3:C$30,2,0)</f>
        <v>370101</v>
      </c>
      <c r="L31" s="3" t="s">
        <v>96</v>
      </c>
      <c r="M31" s="3" t="s">
        <v>96</v>
      </c>
      <c r="N31" s="5" t="s">
        <v>96</v>
      </c>
      <c r="O31" s="3" t="s">
        <v>96</v>
      </c>
      <c r="P31" s="3" t="s">
        <v>96</v>
      </c>
    </row>
    <row r="32" spans="1:16" x14ac:dyDescent="0.2">
      <c r="A32" s="3" t="s">
        <v>63</v>
      </c>
      <c r="B32" s="3" t="str">
        <f>VLOOKUP(A32,Listas!A$3:C$30,3,0)</f>
        <v>Secretaria Municipal da Mulher, Assistência Social e Cidadania</v>
      </c>
      <c r="C32" s="5">
        <v>0</v>
      </c>
      <c r="D32" s="17">
        <v>165</v>
      </c>
      <c r="E32" s="10" t="s">
        <v>96</v>
      </c>
      <c r="F32" s="3" t="s">
        <v>96</v>
      </c>
      <c r="G32" s="3" t="s">
        <v>96</v>
      </c>
      <c r="H32" s="11" t="s">
        <v>124</v>
      </c>
      <c r="I32" s="3" t="s">
        <v>96</v>
      </c>
      <c r="J32" s="12" t="s">
        <v>96</v>
      </c>
      <c r="K32" s="9" t="str">
        <f>VLOOKUP(A32,Listas!A$3:C$30,2,0)</f>
        <v>370101</v>
      </c>
      <c r="L32" s="3" t="s">
        <v>96</v>
      </c>
      <c r="M32" s="3" t="s">
        <v>96</v>
      </c>
      <c r="N32" s="5" t="s">
        <v>96</v>
      </c>
      <c r="O32" s="3" t="s">
        <v>96</v>
      </c>
      <c r="P32" s="3" t="s">
        <v>96</v>
      </c>
    </row>
    <row r="33" spans="1:16" x14ac:dyDescent="0.2">
      <c r="A33" s="3" t="s">
        <v>63</v>
      </c>
      <c r="B33" s="3" t="str">
        <f>VLOOKUP(A33,Listas!A$3:C$30,3,0)</f>
        <v>Secretaria Municipal da Mulher, Assistência Social e Cidadania</v>
      </c>
      <c r="C33" s="5">
        <v>0</v>
      </c>
      <c r="D33" s="17">
        <v>166</v>
      </c>
      <c r="E33" s="10" t="s">
        <v>96</v>
      </c>
      <c r="F33" s="3" t="s">
        <v>96</v>
      </c>
      <c r="G33" s="3" t="s">
        <v>96</v>
      </c>
      <c r="H33" s="11" t="s">
        <v>125</v>
      </c>
      <c r="I33" s="3" t="s">
        <v>96</v>
      </c>
      <c r="J33" s="12" t="s">
        <v>96</v>
      </c>
      <c r="K33" s="9" t="str">
        <f>VLOOKUP(A33,Listas!A$3:C$30,2,0)</f>
        <v>370101</v>
      </c>
      <c r="L33" s="3" t="s">
        <v>96</v>
      </c>
      <c r="M33" s="3" t="s">
        <v>96</v>
      </c>
      <c r="N33" s="5" t="s">
        <v>96</v>
      </c>
      <c r="O33" s="3" t="s">
        <v>96</v>
      </c>
      <c r="P33" s="3" t="s">
        <v>96</v>
      </c>
    </row>
    <row r="34" spans="1:16" x14ac:dyDescent="0.2">
      <c r="A34" s="3" t="s">
        <v>63</v>
      </c>
      <c r="B34" s="3" t="str">
        <f>VLOOKUP(A34,Listas!A$3:C$30,3,0)</f>
        <v>Secretaria Municipal da Mulher, Assistência Social e Cidadania</v>
      </c>
      <c r="C34" s="5">
        <v>0</v>
      </c>
      <c r="D34" s="17">
        <v>167</v>
      </c>
      <c r="E34" s="10" t="s">
        <v>96</v>
      </c>
      <c r="F34" s="3" t="s">
        <v>96</v>
      </c>
      <c r="G34" s="3" t="s">
        <v>96</v>
      </c>
      <c r="H34" s="11" t="s">
        <v>126</v>
      </c>
      <c r="I34" s="3" t="s">
        <v>96</v>
      </c>
      <c r="J34" s="12" t="s">
        <v>96</v>
      </c>
      <c r="K34" s="9" t="str">
        <f>VLOOKUP(A34,Listas!A$3:C$30,2,0)</f>
        <v>370101</v>
      </c>
      <c r="L34" s="3" t="s">
        <v>96</v>
      </c>
      <c r="M34" s="3" t="s">
        <v>96</v>
      </c>
      <c r="N34" s="5" t="s">
        <v>96</v>
      </c>
      <c r="O34" s="3" t="s">
        <v>96</v>
      </c>
      <c r="P34" s="3" t="s">
        <v>96</v>
      </c>
    </row>
    <row r="35" spans="1:16" x14ac:dyDescent="0.2">
      <c r="A35" s="3" t="s">
        <v>63</v>
      </c>
      <c r="B35" s="3" t="str">
        <f>VLOOKUP(A35,Listas!A$3:C$30,3,0)</f>
        <v>Secretaria Municipal da Mulher, Assistência Social e Cidadania</v>
      </c>
      <c r="C35" s="5">
        <v>0</v>
      </c>
      <c r="D35" s="17">
        <v>168</v>
      </c>
      <c r="E35" s="10" t="s">
        <v>96</v>
      </c>
      <c r="F35" s="3" t="s">
        <v>96</v>
      </c>
      <c r="G35" s="3" t="s">
        <v>96</v>
      </c>
      <c r="H35" s="11" t="s">
        <v>127</v>
      </c>
      <c r="I35" s="3" t="s">
        <v>96</v>
      </c>
      <c r="J35" s="12" t="s">
        <v>96</v>
      </c>
      <c r="K35" s="9" t="str">
        <f>VLOOKUP(A35,Listas!A$3:C$30,2,0)</f>
        <v>370101</v>
      </c>
      <c r="L35" s="3" t="s">
        <v>96</v>
      </c>
      <c r="M35" s="3" t="s">
        <v>96</v>
      </c>
      <c r="N35" s="5" t="s">
        <v>96</v>
      </c>
      <c r="O35" s="3" t="s">
        <v>96</v>
      </c>
      <c r="P35" s="3" t="s">
        <v>96</v>
      </c>
    </row>
    <row r="36" spans="1:16" x14ac:dyDescent="0.2">
      <c r="A36" s="3" t="s">
        <v>63</v>
      </c>
      <c r="B36" s="3" t="str">
        <f>VLOOKUP(A36,Listas!A$3:C$30,3,0)</f>
        <v>Secretaria Municipal da Mulher, Assistência Social e Cidadania</v>
      </c>
      <c r="C36" s="5">
        <v>0</v>
      </c>
      <c r="D36" s="17">
        <v>169</v>
      </c>
      <c r="E36" s="10" t="s">
        <v>96</v>
      </c>
      <c r="F36" s="3" t="s">
        <v>96</v>
      </c>
      <c r="G36" s="3" t="s">
        <v>96</v>
      </c>
      <c r="H36" s="11" t="s">
        <v>128</v>
      </c>
      <c r="I36" s="3" t="s">
        <v>96</v>
      </c>
      <c r="J36" s="12" t="s">
        <v>96</v>
      </c>
      <c r="K36" s="9" t="str">
        <f>VLOOKUP(A36,Listas!A$3:C$30,2,0)</f>
        <v>370101</v>
      </c>
      <c r="L36" s="3" t="s">
        <v>96</v>
      </c>
      <c r="M36" s="3" t="s">
        <v>96</v>
      </c>
      <c r="N36" s="5" t="s">
        <v>96</v>
      </c>
      <c r="O36" s="3" t="s">
        <v>96</v>
      </c>
      <c r="P36" s="3" t="s">
        <v>96</v>
      </c>
    </row>
    <row r="37" spans="1:16" x14ac:dyDescent="0.2">
      <c r="A37" s="3" t="s">
        <v>63</v>
      </c>
      <c r="B37" s="3" t="str">
        <f>VLOOKUP(A37,Listas!A$3:C$30,3,0)</f>
        <v>Secretaria Municipal da Mulher, Assistência Social e Cidadania</v>
      </c>
      <c r="C37" s="5">
        <v>0</v>
      </c>
      <c r="D37" s="17">
        <v>170</v>
      </c>
      <c r="E37" s="10" t="s">
        <v>96</v>
      </c>
      <c r="F37" s="3" t="s">
        <v>96</v>
      </c>
      <c r="G37" s="3" t="s">
        <v>96</v>
      </c>
      <c r="H37" s="11" t="s">
        <v>129</v>
      </c>
      <c r="I37" s="3" t="s">
        <v>96</v>
      </c>
      <c r="J37" s="12" t="s">
        <v>96</v>
      </c>
      <c r="K37" s="9" t="str">
        <f>VLOOKUP(A37,Listas!A$3:C$30,2,0)</f>
        <v>370101</v>
      </c>
      <c r="L37" s="3" t="s">
        <v>96</v>
      </c>
      <c r="M37" s="3" t="s">
        <v>96</v>
      </c>
      <c r="N37" s="5" t="s">
        <v>96</v>
      </c>
      <c r="O37" s="3" t="s">
        <v>96</v>
      </c>
      <c r="P37" s="3" t="s">
        <v>96</v>
      </c>
    </row>
    <row r="38" spans="1:16" x14ac:dyDescent="0.2">
      <c r="A38" s="3" t="s">
        <v>63</v>
      </c>
      <c r="B38" s="3" t="str">
        <f>VLOOKUP(A38,Listas!A$3:C$30,3,0)</f>
        <v>Secretaria Municipal da Mulher, Assistência Social e Cidadania</v>
      </c>
      <c r="C38" s="5">
        <v>0</v>
      </c>
      <c r="D38" s="17">
        <v>171</v>
      </c>
      <c r="E38" s="10" t="s">
        <v>96</v>
      </c>
      <c r="F38" s="3" t="s">
        <v>96</v>
      </c>
      <c r="G38" s="3" t="s">
        <v>96</v>
      </c>
      <c r="H38" s="11" t="s">
        <v>130</v>
      </c>
      <c r="I38" s="3" t="s">
        <v>96</v>
      </c>
      <c r="J38" s="12" t="s">
        <v>96</v>
      </c>
      <c r="K38" s="9" t="str">
        <f>VLOOKUP(A38,Listas!A$3:C$30,2,0)</f>
        <v>370101</v>
      </c>
      <c r="L38" s="3" t="s">
        <v>96</v>
      </c>
      <c r="M38" s="3" t="s">
        <v>96</v>
      </c>
      <c r="N38" s="5" t="s">
        <v>96</v>
      </c>
      <c r="O38" s="3" t="s">
        <v>96</v>
      </c>
      <c r="P38" s="3" t="s">
        <v>96</v>
      </c>
    </row>
    <row r="39" spans="1:16" x14ac:dyDescent="0.2">
      <c r="A39" s="3" t="s">
        <v>63</v>
      </c>
      <c r="B39" s="3" t="str">
        <f>VLOOKUP(A39,Listas!A$3:C$30,3,0)</f>
        <v>Secretaria Municipal da Mulher, Assistência Social e Cidadania</v>
      </c>
      <c r="C39" s="5">
        <v>0</v>
      </c>
      <c r="D39" s="17">
        <v>172</v>
      </c>
      <c r="E39" s="10" t="s">
        <v>96</v>
      </c>
      <c r="F39" s="3" t="s">
        <v>96</v>
      </c>
      <c r="G39" s="3" t="s">
        <v>96</v>
      </c>
      <c r="H39" s="11" t="s">
        <v>131</v>
      </c>
      <c r="I39" s="3" t="s">
        <v>96</v>
      </c>
      <c r="J39" s="12" t="s">
        <v>96</v>
      </c>
      <c r="K39" s="9" t="str">
        <f>VLOOKUP(A39,Listas!A$3:C$30,2,0)</f>
        <v>370101</v>
      </c>
      <c r="L39" s="3" t="s">
        <v>96</v>
      </c>
      <c r="M39" s="3" t="s">
        <v>96</v>
      </c>
      <c r="N39" s="5" t="s">
        <v>96</v>
      </c>
      <c r="O39" s="3" t="s">
        <v>96</v>
      </c>
      <c r="P39" s="3" t="s">
        <v>96</v>
      </c>
    </row>
    <row r="40" spans="1:16" x14ac:dyDescent="0.2">
      <c r="A40" s="3" t="s">
        <v>63</v>
      </c>
      <c r="B40" s="3" t="str">
        <f>VLOOKUP(A40,Listas!A$3:C$30,3,0)</f>
        <v>Secretaria Municipal da Mulher, Assistência Social e Cidadania</v>
      </c>
      <c r="C40" s="5">
        <v>0</v>
      </c>
      <c r="D40" s="17">
        <v>173</v>
      </c>
      <c r="E40" s="10" t="s">
        <v>96</v>
      </c>
      <c r="F40" s="3" t="s">
        <v>96</v>
      </c>
      <c r="G40" s="3" t="s">
        <v>96</v>
      </c>
      <c r="H40" s="11" t="s">
        <v>132</v>
      </c>
      <c r="I40" s="3" t="s">
        <v>96</v>
      </c>
      <c r="J40" s="12" t="s">
        <v>96</v>
      </c>
      <c r="K40" s="9" t="str">
        <f>VLOOKUP(A40,Listas!A$3:C$30,2,0)</f>
        <v>370101</v>
      </c>
      <c r="L40" s="3" t="s">
        <v>96</v>
      </c>
      <c r="M40" s="3" t="s">
        <v>96</v>
      </c>
      <c r="N40" s="5" t="s">
        <v>96</v>
      </c>
      <c r="O40" s="3" t="s">
        <v>96</v>
      </c>
      <c r="P40" s="3" t="s">
        <v>96</v>
      </c>
    </row>
    <row r="41" spans="1:16" x14ac:dyDescent="0.2">
      <c r="A41" s="3" t="s">
        <v>63</v>
      </c>
      <c r="B41" s="3" t="str">
        <f>VLOOKUP(A41,Listas!A$3:C$30,3,0)</f>
        <v>Secretaria Municipal da Mulher, Assistência Social e Cidadania</v>
      </c>
      <c r="C41" s="5">
        <v>0</v>
      </c>
      <c r="D41" s="17">
        <v>174</v>
      </c>
      <c r="E41" s="10" t="s">
        <v>96</v>
      </c>
      <c r="F41" s="3" t="s">
        <v>96</v>
      </c>
      <c r="G41" s="3" t="s">
        <v>96</v>
      </c>
      <c r="H41" s="11" t="s">
        <v>133</v>
      </c>
      <c r="I41" s="3" t="s">
        <v>96</v>
      </c>
      <c r="J41" s="12" t="s">
        <v>96</v>
      </c>
      <c r="K41" s="9" t="str">
        <f>VLOOKUP(A41,Listas!A$3:C$30,2,0)</f>
        <v>370101</v>
      </c>
      <c r="L41" s="3" t="s">
        <v>96</v>
      </c>
      <c r="M41" s="3" t="s">
        <v>96</v>
      </c>
      <c r="N41" s="5" t="s">
        <v>96</v>
      </c>
      <c r="O41" s="3" t="s">
        <v>96</v>
      </c>
      <c r="P41" s="3" t="s">
        <v>96</v>
      </c>
    </row>
    <row r="42" spans="1:16" x14ac:dyDescent="0.2">
      <c r="A42" s="3" t="s">
        <v>63</v>
      </c>
      <c r="B42" s="3" t="str">
        <f>VLOOKUP(A42,Listas!A$3:C$30,3,0)</f>
        <v>Secretaria Municipal da Mulher, Assistência Social e Cidadania</v>
      </c>
      <c r="C42" s="5">
        <v>0</v>
      </c>
      <c r="D42" s="17">
        <v>175</v>
      </c>
      <c r="E42" s="10" t="s">
        <v>96</v>
      </c>
      <c r="F42" s="3" t="s">
        <v>96</v>
      </c>
      <c r="G42" s="3" t="s">
        <v>96</v>
      </c>
      <c r="H42" s="11" t="s">
        <v>134</v>
      </c>
      <c r="I42" s="3" t="s">
        <v>96</v>
      </c>
      <c r="J42" s="12" t="s">
        <v>96</v>
      </c>
      <c r="K42" s="9" t="str">
        <f>VLOOKUP(A42,Listas!A$3:C$30,2,0)</f>
        <v>370101</v>
      </c>
      <c r="L42" s="3" t="s">
        <v>96</v>
      </c>
      <c r="M42" s="3" t="s">
        <v>96</v>
      </c>
      <c r="N42" s="5" t="s">
        <v>96</v>
      </c>
      <c r="O42" s="3" t="s">
        <v>96</v>
      </c>
      <c r="P42" s="3" t="s">
        <v>96</v>
      </c>
    </row>
    <row r="43" spans="1:16" x14ac:dyDescent="0.2">
      <c r="A43" s="3" t="s">
        <v>63</v>
      </c>
      <c r="B43" s="3" t="str">
        <f>VLOOKUP(A43,Listas!A$3:C$30,3,0)</f>
        <v>Secretaria Municipal da Mulher, Assistência Social e Cidadania</v>
      </c>
      <c r="C43" s="5">
        <v>0</v>
      </c>
      <c r="D43" s="17">
        <v>176</v>
      </c>
      <c r="E43" s="10" t="s">
        <v>96</v>
      </c>
      <c r="F43" s="3" t="s">
        <v>96</v>
      </c>
      <c r="G43" s="3" t="s">
        <v>96</v>
      </c>
      <c r="H43" s="11" t="s">
        <v>135</v>
      </c>
      <c r="I43" s="3" t="s">
        <v>96</v>
      </c>
      <c r="J43" s="12" t="s">
        <v>96</v>
      </c>
      <c r="K43" s="9" t="str">
        <f>VLOOKUP(A43,Listas!A$3:C$30,2,0)</f>
        <v>370101</v>
      </c>
      <c r="L43" s="3" t="s">
        <v>96</v>
      </c>
      <c r="M43" s="3" t="s">
        <v>96</v>
      </c>
      <c r="N43" s="5" t="s">
        <v>96</v>
      </c>
      <c r="O43" s="3" t="s">
        <v>96</v>
      </c>
      <c r="P43" s="3" t="s">
        <v>96</v>
      </c>
    </row>
    <row r="44" spans="1:16" x14ac:dyDescent="0.2">
      <c r="A44" s="3" t="s">
        <v>63</v>
      </c>
      <c r="B44" s="3" t="str">
        <f>VLOOKUP(A44,Listas!A$3:C$30,3,0)</f>
        <v>Secretaria Municipal da Mulher, Assistência Social e Cidadania</v>
      </c>
      <c r="C44" s="5">
        <v>0</v>
      </c>
      <c r="D44" s="17">
        <v>177</v>
      </c>
      <c r="E44" s="10" t="s">
        <v>96</v>
      </c>
      <c r="F44" s="3" t="s">
        <v>96</v>
      </c>
      <c r="G44" s="3" t="s">
        <v>96</v>
      </c>
      <c r="H44" s="11" t="s">
        <v>136</v>
      </c>
      <c r="I44" s="3" t="s">
        <v>96</v>
      </c>
      <c r="J44" s="12" t="s">
        <v>96</v>
      </c>
      <c r="K44" s="9" t="str">
        <f>VLOOKUP(A44,Listas!A$3:C$30,2,0)</f>
        <v>370101</v>
      </c>
      <c r="L44" s="3" t="s">
        <v>96</v>
      </c>
      <c r="M44" s="3" t="s">
        <v>96</v>
      </c>
      <c r="N44" s="5" t="s">
        <v>96</v>
      </c>
      <c r="O44" s="3" t="s">
        <v>96</v>
      </c>
      <c r="P44" s="3" t="s">
        <v>96</v>
      </c>
    </row>
    <row r="45" spans="1:16" x14ac:dyDescent="0.2">
      <c r="A45" s="3" t="s">
        <v>63</v>
      </c>
      <c r="B45" s="3" t="str">
        <f>VLOOKUP(A45,Listas!A$3:C$30,3,0)</f>
        <v>Secretaria Municipal da Mulher, Assistência Social e Cidadania</v>
      </c>
      <c r="C45" s="5">
        <v>0</v>
      </c>
      <c r="D45" s="17">
        <v>178</v>
      </c>
      <c r="E45" s="10" t="s">
        <v>96</v>
      </c>
      <c r="F45" s="3" t="s">
        <v>96</v>
      </c>
      <c r="G45" s="3" t="s">
        <v>96</v>
      </c>
      <c r="H45" s="11" t="s">
        <v>91</v>
      </c>
      <c r="I45" s="3" t="s">
        <v>96</v>
      </c>
      <c r="J45" s="12" t="s">
        <v>96</v>
      </c>
      <c r="K45" s="9" t="str">
        <f>VLOOKUP(A45,Listas!A$3:C$30,2,0)</f>
        <v>370101</v>
      </c>
      <c r="L45" s="3" t="s">
        <v>96</v>
      </c>
      <c r="M45" s="3" t="s">
        <v>96</v>
      </c>
      <c r="N45" s="5" t="s">
        <v>96</v>
      </c>
      <c r="O45" s="3" t="s">
        <v>96</v>
      </c>
      <c r="P45" s="3" t="s">
        <v>96</v>
      </c>
    </row>
    <row r="46" spans="1:16" x14ac:dyDescent="0.2">
      <c r="A46" s="3" t="s">
        <v>63</v>
      </c>
      <c r="B46" s="3" t="str">
        <f>VLOOKUP(A46,Listas!A$3:C$30,3,0)</f>
        <v>Secretaria Municipal da Mulher, Assistência Social e Cidadania</v>
      </c>
      <c r="C46" s="5">
        <v>4867033.97</v>
      </c>
      <c r="D46" s="17">
        <v>179</v>
      </c>
      <c r="E46" s="10" t="s">
        <v>96</v>
      </c>
      <c r="F46" s="3" t="s">
        <v>96</v>
      </c>
      <c r="G46" s="3" t="s">
        <v>96</v>
      </c>
      <c r="H46" s="11" t="s">
        <v>97</v>
      </c>
      <c r="I46" s="3" t="s">
        <v>96</v>
      </c>
      <c r="J46" s="12" t="s">
        <v>96</v>
      </c>
      <c r="K46" s="9" t="str">
        <f>VLOOKUP(A46,Listas!A$3:C$30,2,0)</f>
        <v>370101</v>
      </c>
      <c r="L46" s="3" t="s">
        <v>96</v>
      </c>
      <c r="M46" s="3" t="s">
        <v>96</v>
      </c>
      <c r="N46" s="5" t="s">
        <v>96</v>
      </c>
      <c r="O46" s="3" t="s">
        <v>96</v>
      </c>
      <c r="P46" s="3" t="s">
        <v>96</v>
      </c>
    </row>
    <row r="47" spans="1:16" x14ac:dyDescent="0.2">
      <c r="A47" s="3" t="s">
        <v>63</v>
      </c>
      <c r="B47" s="3" t="str">
        <f>VLOOKUP(A47,Listas!A$3:C$30,3,0)</f>
        <v>Secretaria Municipal da Mulher, Assistência Social e Cidadania</v>
      </c>
      <c r="C47" s="5">
        <v>0</v>
      </c>
      <c r="D47" s="17">
        <v>180</v>
      </c>
      <c r="E47" s="10" t="s">
        <v>96</v>
      </c>
      <c r="F47" s="3" t="s">
        <v>96</v>
      </c>
      <c r="G47" s="3" t="s">
        <v>96</v>
      </c>
      <c r="H47" s="11" t="s">
        <v>98</v>
      </c>
      <c r="I47" s="3" t="s">
        <v>96</v>
      </c>
      <c r="J47" s="12" t="s">
        <v>96</v>
      </c>
      <c r="K47" s="9" t="str">
        <f>VLOOKUP(A47,Listas!A$3:C$30,2,0)</f>
        <v>370101</v>
      </c>
      <c r="L47" s="3" t="s">
        <v>96</v>
      </c>
      <c r="M47" s="3" t="s">
        <v>96</v>
      </c>
      <c r="N47" s="5" t="s">
        <v>96</v>
      </c>
      <c r="O47" s="3" t="s">
        <v>96</v>
      </c>
      <c r="P47" s="3" t="s">
        <v>96</v>
      </c>
    </row>
    <row r="48" spans="1:16" x14ac:dyDescent="0.2">
      <c r="A48" s="3" t="s">
        <v>63</v>
      </c>
      <c r="B48" s="3" t="str">
        <f>VLOOKUP(A48,Listas!A$3:C$30,3,0)</f>
        <v>Secretaria Municipal da Mulher, Assistência Social e Cidadania</v>
      </c>
      <c r="C48" s="5">
        <v>0</v>
      </c>
      <c r="D48" s="17">
        <v>181</v>
      </c>
      <c r="E48" s="10" t="s">
        <v>96</v>
      </c>
      <c r="F48" s="3" t="s">
        <v>96</v>
      </c>
      <c r="G48" s="3" t="s">
        <v>96</v>
      </c>
      <c r="H48" s="11" t="s">
        <v>99</v>
      </c>
      <c r="I48" s="3" t="s">
        <v>96</v>
      </c>
      <c r="J48" s="12" t="s">
        <v>96</v>
      </c>
      <c r="K48" s="9" t="str">
        <f>VLOOKUP(A48,Listas!A$3:C$30,2,0)</f>
        <v>370101</v>
      </c>
      <c r="L48" s="3" t="s">
        <v>96</v>
      </c>
      <c r="M48" s="3" t="s">
        <v>96</v>
      </c>
      <c r="N48" s="5" t="s">
        <v>96</v>
      </c>
      <c r="O48" s="3" t="s">
        <v>96</v>
      </c>
      <c r="P48" s="3" t="s">
        <v>96</v>
      </c>
    </row>
    <row r="49" spans="1:16" x14ac:dyDescent="0.2">
      <c r="A49" s="3" t="s">
        <v>63</v>
      </c>
      <c r="B49" s="3" t="str">
        <f>VLOOKUP(A49,Listas!A$3:C$30,3,0)</f>
        <v>Secretaria Municipal da Mulher, Assistência Social e Cidadania</v>
      </c>
      <c r="C49" s="5">
        <v>0</v>
      </c>
      <c r="D49" s="17">
        <v>182</v>
      </c>
      <c r="E49" s="10" t="s">
        <v>96</v>
      </c>
      <c r="F49" s="3" t="s">
        <v>96</v>
      </c>
      <c r="G49" s="3" t="s">
        <v>96</v>
      </c>
      <c r="H49" s="11" t="s">
        <v>100</v>
      </c>
      <c r="I49" s="3" t="s">
        <v>96</v>
      </c>
      <c r="J49" s="12" t="s">
        <v>96</v>
      </c>
      <c r="K49" s="9" t="str">
        <f>VLOOKUP(A49,Listas!A$3:C$30,2,0)</f>
        <v>370101</v>
      </c>
      <c r="L49" s="3" t="s">
        <v>96</v>
      </c>
      <c r="M49" s="3" t="s">
        <v>96</v>
      </c>
      <c r="N49" s="5" t="s">
        <v>96</v>
      </c>
      <c r="O49" s="3" t="s">
        <v>96</v>
      </c>
      <c r="P49" s="3" t="s">
        <v>96</v>
      </c>
    </row>
    <row r="50" spans="1:16" x14ac:dyDescent="0.2">
      <c r="A50" s="3" t="s">
        <v>63</v>
      </c>
      <c r="B50" s="3" t="str">
        <f>VLOOKUP(A50,Listas!A$3:C$30,3,0)</f>
        <v>Secretaria Municipal da Mulher, Assistência Social e Cidadania</v>
      </c>
      <c r="C50" s="5">
        <v>0</v>
      </c>
      <c r="D50" s="17">
        <v>183</v>
      </c>
      <c r="E50" s="10" t="s">
        <v>96</v>
      </c>
      <c r="F50" s="3" t="s">
        <v>96</v>
      </c>
      <c r="G50" s="3" t="s">
        <v>96</v>
      </c>
      <c r="H50" s="11" t="s">
        <v>101</v>
      </c>
      <c r="I50" s="3" t="s">
        <v>96</v>
      </c>
      <c r="J50" s="12" t="s">
        <v>96</v>
      </c>
      <c r="K50" s="9" t="str">
        <f>VLOOKUP(A50,Listas!A$3:C$30,2,0)</f>
        <v>370101</v>
      </c>
      <c r="L50" s="3" t="s">
        <v>96</v>
      </c>
      <c r="M50" s="3" t="s">
        <v>96</v>
      </c>
      <c r="N50" s="5" t="s">
        <v>96</v>
      </c>
      <c r="O50" s="3" t="s">
        <v>96</v>
      </c>
      <c r="P50" s="3" t="s">
        <v>96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Listas!$F$3:$F$10</xm:f>
          </x14:formula1>
          <xm:sqref>J2:J50</xm:sqref>
        </x14:dataValidation>
        <x14:dataValidation type="list" allowBlank="1" showInputMessage="1" showErrorMessage="1">
          <x14:formula1>
            <xm:f>Listas!$D$3:$D$8</xm:f>
          </x14:formula1>
          <xm:sqref>G2:G50</xm:sqref>
        </x14:dataValidation>
        <x14:dataValidation type="list" allowBlank="1" showInputMessage="1" showErrorMessage="1">
          <x14:formula1>
            <xm:f>Listas!$A$3:$A$30</xm:f>
          </x14:formula1>
          <xm:sqref>A2:A50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F28" sqref="F27:F28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8" t="s">
        <v>3</v>
      </c>
      <c r="B2" s="8" t="s">
        <v>52</v>
      </c>
      <c r="C2" s="8" t="s">
        <v>29</v>
      </c>
      <c r="D2" s="8" t="s">
        <v>5</v>
      </c>
      <c r="E2" s="8" t="s">
        <v>0</v>
      </c>
      <c r="F2" s="8" t="s">
        <v>4</v>
      </c>
      <c r="G2" s="8" t="s">
        <v>1</v>
      </c>
    </row>
    <row r="3" spans="1:7" x14ac:dyDescent="0.25">
      <c r="A3" s="6" t="s">
        <v>81</v>
      </c>
      <c r="B3" s="6" t="s">
        <v>150</v>
      </c>
      <c r="C3" s="6" t="s">
        <v>82</v>
      </c>
      <c r="D3" s="6" t="s">
        <v>7</v>
      </c>
      <c r="E3" s="6" t="s">
        <v>16</v>
      </c>
      <c r="F3" s="6" t="s">
        <v>20</v>
      </c>
      <c r="G3" s="6" t="s">
        <v>22</v>
      </c>
    </row>
    <row r="4" spans="1:7" x14ac:dyDescent="0.25">
      <c r="A4" s="6" t="s">
        <v>31</v>
      </c>
      <c r="B4" s="6" t="s">
        <v>151</v>
      </c>
      <c r="C4" s="6" t="s">
        <v>32</v>
      </c>
      <c r="D4" s="6" t="s">
        <v>6</v>
      </c>
      <c r="E4" s="6" t="s">
        <v>15</v>
      </c>
      <c r="F4" s="6" t="s">
        <v>21</v>
      </c>
      <c r="G4" s="6" t="s">
        <v>23</v>
      </c>
    </row>
    <row r="5" spans="1:7" x14ac:dyDescent="0.25">
      <c r="A5" s="6" t="s">
        <v>33</v>
      </c>
      <c r="B5" s="6" t="s">
        <v>152</v>
      </c>
      <c r="C5" s="6" t="s">
        <v>92</v>
      </c>
      <c r="D5" s="6" t="s">
        <v>8</v>
      </c>
      <c r="E5" s="6" t="s">
        <v>14</v>
      </c>
      <c r="F5" s="6" t="s">
        <v>18</v>
      </c>
      <c r="G5" s="6" t="s">
        <v>24</v>
      </c>
    </row>
    <row r="6" spans="1:7" x14ac:dyDescent="0.25">
      <c r="A6" s="6" t="s">
        <v>50</v>
      </c>
      <c r="B6" s="6" t="s">
        <v>153</v>
      </c>
      <c r="C6" s="6" t="s">
        <v>51</v>
      </c>
      <c r="D6" s="6" t="s">
        <v>96</v>
      </c>
      <c r="E6" s="6" t="s">
        <v>13</v>
      </c>
      <c r="F6" s="6" t="s">
        <v>17</v>
      </c>
      <c r="G6" s="6" t="s">
        <v>25</v>
      </c>
    </row>
    <row r="7" spans="1:7" x14ac:dyDescent="0.25">
      <c r="A7" s="6" t="s">
        <v>40</v>
      </c>
      <c r="B7" s="6" t="s">
        <v>154</v>
      </c>
      <c r="C7" s="6" t="s">
        <v>41</v>
      </c>
      <c r="D7" s="6"/>
      <c r="E7" s="6" t="s">
        <v>11</v>
      </c>
      <c r="F7" s="6" t="s">
        <v>19</v>
      </c>
      <c r="G7" s="6" t="s">
        <v>26</v>
      </c>
    </row>
    <row r="8" spans="1:7" x14ac:dyDescent="0.25">
      <c r="A8" s="6" t="s">
        <v>28</v>
      </c>
      <c r="B8" s="6" t="s">
        <v>155</v>
      </c>
      <c r="C8" s="6" t="s">
        <v>30</v>
      </c>
      <c r="D8" s="6"/>
      <c r="E8" s="6" t="s">
        <v>9</v>
      </c>
      <c r="F8" s="6" t="s">
        <v>96</v>
      </c>
      <c r="G8" s="6" t="s">
        <v>96</v>
      </c>
    </row>
    <row r="9" spans="1:7" x14ac:dyDescent="0.25">
      <c r="A9" s="6" t="s">
        <v>71</v>
      </c>
      <c r="B9" s="6" t="s">
        <v>156</v>
      </c>
      <c r="C9" s="6" t="s">
        <v>72</v>
      </c>
      <c r="D9" s="6"/>
      <c r="E9" s="6" t="s">
        <v>12</v>
      </c>
      <c r="F9" s="6"/>
      <c r="G9" s="6"/>
    </row>
    <row r="10" spans="1:7" x14ac:dyDescent="0.25">
      <c r="A10" s="6" t="s">
        <v>53</v>
      </c>
      <c r="B10" s="6" t="s">
        <v>157</v>
      </c>
      <c r="C10" s="6" t="s">
        <v>54</v>
      </c>
      <c r="D10" s="6"/>
      <c r="E10" s="6" t="s">
        <v>10</v>
      </c>
      <c r="F10" s="6"/>
      <c r="G10" s="6"/>
    </row>
    <row r="11" spans="1:7" x14ac:dyDescent="0.25">
      <c r="A11" s="6" t="s">
        <v>34</v>
      </c>
      <c r="B11" s="6" t="s">
        <v>158</v>
      </c>
      <c r="C11" s="6" t="s">
        <v>35</v>
      </c>
      <c r="D11" s="6"/>
      <c r="E11" s="6"/>
      <c r="F11" s="6"/>
      <c r="G11" s="6"/>
    </row>
    <row r="12" spans="1:7" x14ac:dyDescent="0.25">
      <c r="A12" s="6" t="s">
        <v>75</v>
      </c>
      <c r="B12" s="6" t="s">
        <v>159</v>
      </c>
      <c r="C12" s="6" t="s">
        <v>76</v>
      </c>
      <c r="D12" s="6"/>
      <c r="E12" s="6"/>
      <c r="F12" s="6"/>
      <c r="G12" s="6"/>
    </row>
    <row r="13" spans="1:7" x14ac:dyDescent="0.25">
      <c r="A13" s="6" t="s">
        <v>73</v>
      </c>
      <c r="B13" s="6" t="s">
        <v>160</v>
      </c>
      <c r="C13" s="6" t="s">
        <v>74</v>
      </c>
      <c r="D13" s="6"/>
      <c r="E13" s="6"/>
      <c r="F13" s="6"/>
      <c r="G13" s="6"/>
    </row>
    <row r="14" spans="1:7" x14ac:dyDescent="0.25">
      <c r="A14" s="6" t="s">
        <v>77</v>
      </c>
      <c r="B14" s="6" t="s">
        <v>161</v>
      </c>
      <c r="C14" s="6" t="s">
        <v>78</v>
      </c>
      <c r="D14" s="6"/>
      <c r="E14" s="6"/>
      <c r="F14" s="6"/>
      <c r="G14" s="6"/>
    </row>
    <row r="15" spans="1:7" x14ac:dyDescent="0.25">
      <c r="A15" s="6" t="s">
        <v>79</v>
      </c>
      <c r="B15" s="6" t="s">
        <v>162</v>
      </c>
      <c r="C15" s="6" t="s">
        <v>80</v>
      </c>
      <c r="D15" s="6"/>
      <c r="E15" s="6"/>
      <c r="F15" s="6"/>
      <c r="G15" s="6"/>
    </row>
    <row r="16" spans="1:7" x14ac:dyDescent="0.25">
      <c r="A16" s="6" t="s">
        <v>36</v>
      </c>
      <c r="B16" s="6" t="s">
        <v>163</v>
      </c>
      <c r="C16" s="6" t="s">
        <v>37</v>
      </c>
      <c r="D16" s="6"/>
      <c r="E16" s="6"/>
      <c r="F16" s="6"/>
      <c r="G16" s="6"/>
    </row>
    <row r="17" spans="1:7" x14ac:dyDescent="0.25">
      <c r="A17" s="6" t="s">
        <v>67</v>
      </c>
      <c r="B17" s="6" t="s">
        <v>164</v>
      </c>
      <c r="C17" s="6" t="s">
        <v>68</v>
      </c>
      <c r="D17" s="6"/>
      <c r="E17" s="6"/>
      <c r="F17" s="6"/>
      <c r="G17" s="6"/>
    </row>
    <row r="18" spans="1:7" x14ac:dyDescent="0.25">
      <c r="A18" s="6" t="s">
        <v>38</v>
      </c>
      <c r="B18" s="6" t="s">
        <v>165</v>
      </c>
      <c r="C18" s="6" t="s">
        <v>39</v>
      </c>
      <c r="D18" s="6"/>
      <c r="E18" s="6"/>
      <c r="F18" s="6"/>
      <c r="G18" s="6"/>
    </row>
    <row r="19" spans="1:7" x14ac:dyDescent="0.25">
      <c r="A19" s="6" t="s">
        <v>63</v>
      </c>
      <c r="B19" s="6" t="s">
        <v>166</v>
      </c>
      <c r="C19" s="6" t="s">
        <v>64</v>
      </c>
      <c r="D19" s="6"/>
      <c r="E19" s="6"/>
      <c r="F19" s="6"/>
      <c r="G19" s="6"/>
    </row>
    <row r="20" spans="1:7" x14ac:dyDescent="0.25">
      <c r="A20" s="6" t="s">
        <v>46</v>
      </c>
      <c r="B20" s="6" t="s">
        <v>167</v>
      </c>
      <c r="C20" s="6" t="s">
        <v>47</v>
      </c>
      <c r="D20" s="6"/>
      <c r="E20" s="6"/>
      <c r="F20" s="6"/>
      <c r="G20" s="6"/>
    </row>
    <row r="21" spans="1:7" x14ac:dyDescent="0.25">
      <c r="A21" s="6" t="s">
        <v>44</v>
      </c>
      <c r="B21" s="6" t="s">
        <v>168</v>
      </c>
      <c r="C21" s="6" t="s">
        <v>45</v>
      </c>
      <c r="D21" s="6"/>
      <c r="E21" s="6"/>
      <c r="F21" s="6"/>
      <c r="G21" s="6"/>
    </row>
    <row r="22" spans="1:7" x14ac:dyDescent="0.25">
      <c r="A22" s="6" t="s">
        <v>42</v>
      </c>
      <c r="B22" s="6" t="s">
        <v>169</v>
      </c>
      <c r="C22" s="6" t="s">
        <v>43</v>
      </c>
      <c r="D22" s="6"/>
      <c r="E22" s="6"/>
      <c r="F22" s="6"/>
      <c r="G22" s="6"/>
    </row>
    <row r="23" spans="1:7" x14ac:dyDescent="0.25">
      <c r="A23" s="6" t="s">
        <v>69</v>
      </c>
      <c r="B23" s="6" t="s">
        <v>170</v>
      </c>
      <c r="C23" s="6" t="s">
        <v>70</v>
      </c>
      <c r="D23" s="6"/>
      <c r="E23" s="6"/>
      <c r="F23" s="6"/>
      <c r="G23" s="6"/>
    </row>
    <row r="24" spans="1:7" x14ac:dyDescent="0.25">
      <c r="A24" s="6" t="s">
        <v>59</v>
      </c>
      <c r="B24" s="6" t="s">
        <v>171</v>
      </c>
      <c r="C24" s="6" t="s">
        <v>60</v>
      </c>
      <c r="D24" s="6"/>
      <c r="E24" s="6"/>
      <c r="F24" s="6"/>
      <c r="G24" s="6"/>
    </row>
    <row r="25" spans="1:7" x14ac:dyDescent="0.25">
      <c r="A25" s="6" t="s">
        <v>57</v>
      </c>
      <c r="B25" s="6" t="s">
        <v>172</v>
      </c>
      <c r="C25" s="6" t="s">
        <v>58</v>
      </c>
      <c r="D25" s="6"/>
      <c r="E25" s="6"/>
      <c r="F25" s="6"/>
      <c r="G25" s="6"/>
    </row>
    <row r="26" spans="1:7" x14ac:dyDescent="0.25">
      <c r="A26" s="6" t="s">
        <v>61</v>
      </c>
      <c r="B26" s="6" t="s">
        <v>173</v>
      </c>
      <c r="C26" s="6" t="s">
        <v>62</v>
      </c>
      <c r="D26" s="6"/>
      <c r="E26" s="6"/>
      <c r="F26" s="6"/>
      <c r="G26" s="6"/>
    </row>
    <row r="27" spans="1:7" x14ac:dyDescent="0.25">
      <c r="A27" s="6" t="s">
        <v>93</v>
      </c>
      <c r="B27" s="6" t="s">
        <v>174</v>
      </c>
      <c r="C27" s="6" t="s">
        <v>94</v>
      </c>
      <c r="D27" s="6"/>
      <c r="E27" s="6"/>
      <c r="F27" s="6"/>
      <c r="G27" s="6"/>
    </row>
    <row r="28" spans="1:7" x14ac:dyDescent="0.25">
      <c r="A28" s="6" t="s">
        <v>56</v>
      </c>
      <c r="B28" s="6" t="s">
        <v>175</v>
      </c>
      <c r="C28" s="6" t="s">
        <v>55</v>
      </c>
      <c r="D28" s="6"/>
      <c r="E28" s="6"/>
      <c r="F28" s="6"/>
      <c r="G28" s="6"/>
    </row>
    <row r="29" spans="1:7" x14ac:dyDescent="0.25">
      <c r="A29" s="6" t="s">
        <v>48</v>
      </c>
      <c r="B29" s="6" t="s">
        <v>176</v>
      </c>
      <c r="C29" s="6" t="s">
        <v>49</v>
      </c>
      <c r="D29" s="6"/>
      <c r="E29" s="6"/>
      <c r="F29" s="6"/>
      <c r="G29" s="6"/>
    </row>
    <row r="30" spans="1:7" x14ac:dyDescent="0.25">
      <c r="A30" s="6" t="s">
        <v>65</v>
      </c>
      <c r="B30" s="6" t="s">
        <v>177</v>
      </c>
      <c r="C30" s="6" t="s">
        <v>66</v>
      </c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dcterms:created xsi:type="dcterms:W3CDTF">2026-01-27T14:50:04Z</dcterms:created>
  <dcterms:modified xsi:type="dcterms:W3CDTF">2026-07-03T14:09:32Z</dcterms:modified>
</cp:coreProperties>
</file>