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  <c r="B13" i="1"/>
  <c r="I13" i="1"/>
  <c r="B14" i="1"/>
  <c r="I14" i="1"/>
  <c r="B15" i="1"/>
  <c r="I15" i="1"/>
  <c r="B16" i="1"/>
  <c r="I16" i="1"/>
  <c r="B17" i="1"/>
  <c r="I17" i="1"/>
  <c r="B18" i="1"/>
  <c r="I18" i="1"/>
</calcChain>
</file>

<file path=xl/sharedStrings.xml><?xml version="1.0" encoding="utf-8"?>
<sst xmlns="http://schemas.openxmlformats.org/spreadsheetml/2006/main" count="393" uniqueCount="190">
  <si>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</si>
  <si>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</si>
  <si>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</si>
  <si>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</si>
  <si>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</si>
  <si>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</si>
  <si>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</si>
  <si>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</si>
  <si>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</si>
  <si>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</si>
  <si>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</si>
  <si>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</si>
  <si>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</si>
  <si>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</si>
  <si>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</si>
  <si>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</si>
  <si>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</si>
  <si>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</si>
  <si>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</si>
  <si>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</si>
  <si>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</si>
  <si>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</si>
  <si>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</si>
  <si>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</si>
  <si>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</si>
  <si>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</si>
  <si>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</si>
  <si>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</si>
  <si>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</si>
  <si>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</si>
  <si>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</si>
  <si>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</si>
  <si>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</si>
  <si>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</si>
  <si>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</si>
  <si>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</si>
  <si>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</si>
  <si>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</si>
  <si>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</si>
  <si>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</si>
  <si>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</si>
  <si>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</si>
  <si>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</si>
  <si>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</si>
  <si>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</si>
  <si>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</si>
  <si>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</si>
  <si>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</si>
  <si>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</si>
  <si>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</si>
  <si>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</si>
  <si>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</si>
  <si>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</si>
  <si>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</si>
  <si>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</si>
  <si>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</si>
  <si>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</si>
  <si>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</si>
  <si>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</si>
  <si>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</si>
  <si>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</si>
  <si>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</si>
  <si>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</si>
  <si>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</si>
  <si>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</si>
  <si>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</si>
  <si>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</si>
  <si>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</si>
  <si>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</si>
  <si>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</si>
  <si>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</si>
  <si>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</si>
  <si>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</si>
  <si>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</si>
  <si>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</si>
  <si>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</si>
  <si>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</si>
  <si>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</si>
  <si>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</si>
  <si>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</si>
  <si>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</si>
  <si>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</si>
  <si>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</si>
  <si>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</si>
  <si>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</si>
  <si>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</si>
  <si>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</si>
  <si>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</si>
  <si>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</si>
  <si>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</si>
  <si>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</si>
  <si>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</si>
  <si>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</si>
  <si>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</si>
  <si>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</si>
  <si>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</si>
  <si>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</si>
  <si>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</si>
  <si>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</si>
  <si>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</si>
  <si>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</si>
  <si>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</si>
  <si>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</si>
  <si>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</si>
  <si>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</si>
  <si>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</si>
  <si>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</si>
  <si>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</si>
  <si>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</si>
  <si>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</si>
  <si>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</si>
  <si>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</si>
  <si>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</si>
  <si>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</si>
  <si>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</si>
  <si>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</si>
  <si>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</si>
  <si>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</si>
  <si>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</si>
  <si>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</si>
  <si>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</si>
  <si>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Rua Dos Bares,S/Nº  - Centro - CEP 69.005-020</t>
  </si>
  <si>
    <t>R. Gabriel Gonçalves, 351 - Aleixo - CEP 69.060-010</t>
  </si>
  <si>
    <t>Escritório de Representação em Brasília</t>
  </si>
  <si>
    <t>OESTE</t>
  </si>
  <si>
    <t>NORTE</t>
  </si>
  <si>
    <t>SUL</t>
  </si>
  <si>
    <t>CENTRO-SUL</t>
  </si>
  <si>
    <t>LESTE</t>
  </si>
  <si>
    <t>CENTRO - OESTE</t>
  </si>
  <si>
    <t>CENTRO - SUL</t>
  </si>
  <si>
    <t>1º OFÍCIO</t>
  </si>
  <si>
    <t>ATIVO</t>
  </si>
  <si>
    <t>SEMSA</t>
  </si>
  <si>
    <t>23000</t>
  </si>
  <si>
    <t>Secretaria Municipal de Saúde</t>
  </si>
  <si>
    <t>Divisão Distral de Obras - Colônia Antônio Aleixo</t>
  </si>
  <si>
    <t>Divisão Distrital de Obras - Alvorada</t>
  </si>
  <si>
    <t>Divisão Distrital de Obras - Centro Histórico</t>
  </si>
  <si>
    <t>Divisão Distrital de Obras - Cidade de Deus</t>
  </si>
  <si>
    <t>Divisão Distrital de Obras - Cidade Nova</t>
  </si>
  <si>
    <t>Divisão Distrital de Obras - Compensa</t>
  </si>
  <si>
    <t>Divisão Distrital de Obras - Coroado</t>
  </si>
  <si>
    <t>Divisão Distrital de Obras - Jorge Teixeira</t>
  </si>
  <si>
    <t>Divisão Distrital de Obras - Morro da Liberdade</t>
  </si>
  <si>
    <t>Divisão Distrital de Obras - Novo Israel</t>
  </si>
  <si>
    <t>Divisão Distrital de Obras - Petrópolis</t>
  </si>
  <si>
    <t>Divisão Distrital de Obras - Santa Etelvina</t>
  </si>
  <si>
    <t>Divisão Distrital de Obras - São José</t>
  </si>
  <si>
    <t>Fábrica Artefatos de Concreto / Chapada</t>
  </si>
  <si>
    <t>Sede SEMINF (Garajão) - Secretaria Municipal de Infraestrutura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</si>
  <si>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</si>
  <si>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</si>
  <si>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</si>
  <si>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</si>
  <si>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</si>
  <si>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</si>
  <si>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</si>
  <si>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</si>
  <si>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</si>
  <si>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</si>
  <si>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</si>
  <si>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</si>
  <si>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Rua Beira Rio,129  Comunidade 11 de Maio - Colônia Antônio Aleixo - CEP 69.008-250</t>
  </si>
  <si>
    <t>Av. Desembargador João Machado,192 - Alvorada - CEP 69.043-000</t>
  </si>
  <si>
    <t>Rua São Bernardo,86  - Cidade de Deus - CEP 69.000-000</t>
  </si>
  <si>
    <t>Av. Noel Nutels,2282  - Cidade Nova - CEP 69.095-000</t>
  </si>
  <si>
    <t>Rua São João,13 - Compensa - CEP 69.035-030</t>
  </si>
  <si>
    <t>Av. Coletora,250,  Conjunto Águas Claras I - Novo Aleixo -CEP 69.058-745</t>
  </si>
  <si>
    <t>Rua dos Minerais,48 - Jorge Teixeira - CEP 69.000-000</t>
  </si>
  <si>
    <t>Rua Nova,S/Nº - São Lázaro - CEP 69.073-140</t>
  </si>
  <si>
    <t>Rua 7 de Setembro,S/Nº  - Novo Israel - CEP 69.000-000</t>
  </si>
  <si>
    <t>Rua 03,S/Nº - Petrópolis - CEP 69.000-000</t>
  </si>
  <si>
    <t>Rua Santa Etelvina,341 - Santa Etelvina -  CEP 69.059-510</t>
  </si>
  <si>
    <t>Rua Bernardo Cabral,175  - Tancredo Neves - CEP 69.087-290</t>
  </si>
  <si>
    <t>Av. Darcy Vargas,S/Nº  - Chapada - CEP 69.050-020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</si>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</sst>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zoomScaleNormal="100" workbookViewId="0">
      <pane ySplit="3" topLeftCell="A4" activePane="bottomLeft" state="frozen"/>
      <selection pane="bottomLeft" activeCell="B24" sqref="B24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189</v>
      </c>
      <c r="B2" s="19" t="s">
        <v>189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189</v>
      </c>
      <c r="M2" s="20" t="s">
        <v>176</v>
      </c>
      <c r="N2" s="19" t="s">
        <v>177</v>
      </c>
      <c r="O2" s="19" t="s">
        <v>178</v>
      </c>
      <c r="P2" s="19" t="s">
        <v>179</v>
      </c>
      <c r="Q2" s="19" t="s">
        <v>180</v>
      </c>
      <c r="R2" s="19" t="s">
        <v>181</v>
      </c>
      <c r="S2" s="19" t="s">
        <v>182</v>
      </c>
      <c r="T2" s="19" t="s">
        <v>183</v>
      </c>
      <c r="U2" s="19" t="s">
        <v>184</v>
      </c>
      <c r="V2" s="19" t="s">
        <v>185</v>
      </c>
      <c r="W2" s="19" t="s">
        <v>186</v>
      </c>
      <c r="X2" s="19" t="s">
        <v>187</v>
      </c>
      <c r="Y2" s="19" t="s">
        <v>188</v>
      </c>
    </row>
    <row r="3" spans="1:26" s="2" customFormat="1" ht="25.5" customHeight="1" thickBot="1" x14ac:dyDescent="0.3">
      <c r="A3" s="14" t="s">
        <v>151</v>
      </c>
      <c r="B3" s="15" t="s">
        <v>38</v>
      </c>
      <c r="C3" s="15" t="s">
        <v>154</v>
      </c>
      <c r="D3" s="15" t="s">
        <v>155</v>
      </c>
      <c r="E3" s="15" t="s">
        <v>156</v>
      </c>
      <c r="F3" s="15" t="s">
        <v>157</v>
      </c>
      <c r="G3" s="15" t="s">
        <v>158</v>
      </c>
      <c r="H3" s="15" t="s">
        <v>159</v>
      </c>
      <c r="I3" s="15" t="s">
        <v>160</v>
      </c>
      <c r="J3" s="15" t="s">
        <v>161</v>
      </c>
      <c r="K3" s="15" t="s">
        <v>162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153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85</v>
      </c>
      <c r="B4" s="3" t="str">
        <f>VLOOKUP(A4,Listas!A$3:C$30,3,0)</f>
        <v>Secretaria Municipal de Infraestrutura</v>
      </c>
      <c r="C4" s="11" t="s">
        <v>136</v>
      </c>
      <c r="D4" s="3" t="s">
        <v>128</v>
      </c>
      <c r="E4" s="3" t="s">
        <v>132</v>
      </c>
      <c r="F4" s="3"/>
      <c r="G4" s="3"/>
      <c r="H4" s="5"/>
      <c r="I4" s="5">
        <f t="shared" ref="I4:I18" si="0">H4+L4</f>
        <v>0</v>
      </c>
      <c r="J4" s="3"/>
      <c r="K4" s="3" t="s">
        <v>152</v>
      </c>
      <c r="L4" s="5">
        <v>0</v>
      </c>
      <c r="M4" s="9">
        <v>490</v>
      </c>
      <c r="N4" s="10" t="s">
        <v>152</v>
      </c>
      <c r="O4" s="3" t="s">
        <v>152</v>
      </c>
      <c r="P4" s="3" t="s">
        <v>152</v>
      </c>
      <c r="Q4" s="11" t="s">
        <v>163</v>
      </c>
      <c r="R4" s="3" t="s">
        <v>152</v>
      </c>
      <c r="S4" s="12" t="s">
        <v>152</v>
      </c>
      <c r="T4" s="9" t="str">
        <f>VLOOKUP(A4,Listas!A$3:C$30,2,0)</f>
        <v>27101</v>
      </c>
      <c r="U4" s="3" t="s">
        <v>152</v>
      </c>
      <c r="V4" s="3" t="s">
        <v>152</v>
      </c>
      <c r="W4" s="5" t="s">
        <v>152</v>
      </c>
      <c r="X4" s="3" t="s">
        <v>152</v>
      </c>
      <c r="Y4" s="3" t="s">
        <v>152</v>
      </c>
    </row>
    <row r="5" spans="1:26" x14ac:dyDescent="0.2">
      <c r="A5" s="3" t="s">
        <v>85</v>
      </c>
      <c r="B5" s="3" t="str">
        <f>VLOOKUP(A5,Listas!A$3:C$30,3,0)</f>
        <v>Secretaria Municipal de Infraestrutura</v>
      </c>
      <c r="C5" s="11" t="s">
        <v>137</v>
      </c>
      <c r="D5" s="3" t="s">
        <v>129</v>
      </c>
      <c r="E5" s="3" t="s">
        <v>132</v>
      </c>
      <c r="F5" s="3"/>
      <c r="G5" s="3"/>
      <c r="H5" s="5"/>
      <c r="I5" s="5">
        <f t="shared" si="0"/>
        <v>0</v>
      </c>
      <c r="J5" s="3"/>
      <c r="K5" s="3" t="s">
        <v>152</v>
      </c>
      <c r="L5" s="5">
        <v>0</v>
      </c>
      <c r="M5" s="9">
        <v>491</v>
      </c>
      <c r="N5" s="10" t="s">
        <v>152</v>
      </c>
      <c r="O5" s="3" t="s">
        <v>152</v>
      </c>
      <c r="P5" s="3" t="s">
        <v>152</v>
      </c>
      <c r="Q5" s="11" t="s">
        <v>164</v>
      </c>
      <c r="R5" s="3" t="s">
        <v>152</v>
      </c>
      <c r="S5" s="12" t="s">
        <v>152</v>
      </c>
      <c r="T5" s="9" t="str">
        <f>VLOOKUP(A5,Listas!A$3:C$30,2,0)</f>
        <v>27101</v>
      </c>
      <c r="U5" s="3" t="s">
        <v>152</v>
      </c>
      <c r="V5" s="3" t="s">
        <v>152</v>
      </c>
      <c r="W5" s="5" t="s">
        <v>152</v>
      </c>
      <c r="X5" s="3" t="s">
        <v>152</v>
      </c>
      <c r="Y5" s="3" t="s">
        <v>152</v>
      </c>
    </row>
    <row r="6" spans="1:26" x14ac:dyDescent="0.2">
      <c r="A6" s="3" t="s">
        <v>85</v>
      </c>
      <c r="B6" s="3" t="str">
        <f>VLOOKUP(A6,Listas!A$3:C$30,3,0)</f>
        <v>Secretaria Municipal de Infraestrutura</v>
      </c>
      <c r="C6" s="11" t="s">
        <v>138</v>
      </c>
      <c r="D6" s="3" t="s">
        <v>126</v>
      </c>
      <c r="E6" s="3" t="s">
        <v>132</v>
      </c>
      <c r="F6" s="3"/>
      <c r="G6" s="3"/>
      <c r="H6" s="5"/>
      <c r="I6" s="5">
        <f t="shared" si="0"/>
        <v>0</v>
      </c>
      <c r="J6" s="3"/>
      <c r="K6" s="3" t="s">
        <v>152</v>
      </c>
      <c r="L6" s="5">
        <v>0</v>
      </c>
      <c r="M6" s="9">
        <v>492</v>
      </c>
      <c r="N6" s="10" t="s">
        <v>152</v>
      </c>
      <c r="O6" s="3" t="s">
        <v>152</v>
      </c>
      <c r="P6" s="3" t="s">
        <v>152</v>
      </c>
      <c r="Q6" s="11" t="s">
        <v>121</v>
      </c>
      <c r="R6" s="3" t="s">
        <v>152</v>
      </c>
      <c r="S6" s="12" t="s">
        <v>152</v>
      </c>
      <c r="T6" s="9" t="str">
        <f>VLOOKUP(A6,Listas!A$3:C$30,2,0)</f>
        <v>27101</v>
      </c>
      <c r="U6" s="3" t="s">
        <v>152</v>
      </c>
      <c r="V6" s="3" t="s">
        <v>152</v>
      </c>
      <c r="W6" s="5" t="s">
        <v>152</v>
      </c>
      <c r="X6" s="3" t="s">
        <v>152</v>
      </c>
      <c r="Y6" s="3" t="s">
        <v>152</v>
      </c>
    </row>
    <row r="7" spans="1:26" x14ac:dyDescent="0.2">
      <c r="A7" s="3" t="s">
        <v>85</v>
      </c>
      <c r="B7" s="3" t="str">
        <f>VLOOKUP(A7,Listas!A$3:C$30,3,0)</f>
        <v>Secretaria Municipal de Infraestrutura</v>
      </c>
      <c r="C7" s="11" t="s">
        <v>139</v>
      </c>
      <c r="D7" s="3" t="s">
        <v>125</v>
      </c>
      <c r="E7" s="3" t="s">
        <v>132</v>
      </c>
      <c r="F7" s="3"/>
      <c r="G7" s="3"/>
      <c r="H7" s="5"/>
      <c r="I7" s="5">
        <f t="shared" si="0"/>
        <v>0</v>
      </c>
      <c r="J7" s="3"/>
      <c r="K7" s="3" t="s">
        <v>152</v>
      </c>
      <c r="L7" s="5">
        <v>0</v>
      </c>
      <c r="M7" s="9">
        <v>493</v>
      </c>
      <c r="N7" s="10" t="s">
        <v>152</v>
      </c>
      <c r="O7" s="3" t="s">
        <v>152</v>
      </c>
      <c r="P7" s="3" t="s">
        <v>152</v>
      </c>
      <c r="Q7" s="11" t="s">
        <v>165</v>
      </c>
      <c r="R7" s="3" t="s">
        <v>152</v>
      </c>
      <c r="S7" s="12" t="s">
        <v>152</v>
      </c>
      <c r="T7" s="9" t="str">
        <f>VLOOKUP(A7,Listas!A$3:C$30,2,0)</f>
        <v>27101</v>
      </c>
      <c r="U7" s="3" t="s">
        <v>152</v>
      </c>
      <c r="V7" s="3" t="s">
        <v>152</v>
      </c>
      <c r="W7" s="5" t="s">
        <v>152</v>
      </c>
      <c r="X7" s="3" t="s">
        <v>152</v>
      </c>
      <c r="Y7" s="3" t="s">
        <v>152</v>
      </c>
    </row>
    <row r="8" spans="1:26" x14ac:dyDescent="0.2">
      <c r="A8" s="3" t="s">
        <v>85</v>
      </c>
      <c r="B8" s="3" t="str">
        <f>VLOOKUP(A8,Listas!A$3:C$30,3,0)</f>
        <v>Secretaria Municipal de Infraestrutura</v>
      </c>
      <c r="C8" s="11" t="s">
        <v>140</v>
      </c>
      <c r="D8" s="3" t="s">
        <v>125</v>
      </c>
      <c r="E8" s="3" t="s">
        <v>132</v>
      </c>
      <c r="F8" s="3"/>
      <c r="G8" s="3"/>
      <c r="H8" s="5"/>
      <c r="I8" s="5">
        <f t="shared" si="0"/>
        <v>0</v>
      </c>
      <c r="J8" s="3"/>
      <c r="K8" s="3" t="s">
        <v>152</v>
      </c>
      <c r="L8" s="5">
        <v>0</v>
      </c>
      <c r="M8" s="9">
        <v>494</v>
      </c>
      <c r="N8" s="10" t="s">
        <v>152</v>
      </c>
      <c r="O8" s="3" t="s">
        <v>152</v>
      </c>
      <c r="P8" s="3" t="s">
        <v>152</v>
      </c>
      <c r="Q8" s="11" t="s">
        <v>166</v>
      </c>
      <c r="R8" s="3" t="s">
        <v>152</v>
      </c>
      <c r="S8" s="12" t="s">
        <v>152</v>
      </c>
      <c r="T8" s="9" t="str">
        <f>VLOOKUP(A8,Listas!A$3:C$30,2,0)</f>
        <v>27101</v>
      </c>
      <c r="U8" s="3" t="s">
        <v>152</v>
      </c>
      <c r="V8" s="3" t="s">
        <v>152</v>
      </c>
      <c r="W8" s="5" t="s">
        <v>152</v>
      </c>
      <c r="X8" s="3" t="s">
        <v>152</v>
      </c>
      <c r="Y8" s="3" t="s">
        <v>152</v>
      </c>
    </row>
    <row r="9" spans="1:26" x14ac:dyDescent="0.2">
      <c r="A9" s="3" t="s">
        <v>85</v>
      </c>
      <c r="B9" s="3" t="str">
        <f>VLOOKUP(A9,Listas!A$3:C$30,3,0)</f>
        <v>Secretaria Municipal de Infraestrutura</v>
      </c>
      <c r="C9" s="11" t="s">
        <v>141</v>
      </c>
      <c r="D9" s="3" t="s">
        <v>124</v>
      </c>
      <c r="E9" s="3"/>
      <c r="F9" s="3"/>
      <c r="G9" s="3"/>
      <c r="H9" s="5"/>
      <c r="I9" s="5">
        <f t="shared" si="0"/>
        <v>0</v>
      </c>
      <c r="J9" s="3"/>
      <c r="K9" s="3" t="s">
        <v>152</v>
      </c>
      <c r="L9" s="5">
        <v>0</v>
      </c>
      <c r="M9" s="9">
        <v>495</v>
      </c>
      <c r="N9" s="10" t="s">
        <v>152</v>
      </c>
      <c r="O9" s="3" t="s">
        <v>152</v>
      </c>
      <c r="P9" s="3" t="s">
        <v>152</v>
      </c>
      <c r="Q9" s="11" t="s">
        <v>167</v>
      </c>
      <c r="R9" s="3" t="s">
        <v>152</v>
      </c>
      <c r="S9" s="12" t="s">
        <v>152</v>
      </c>
      <c r="T9" s="9" t="str">
        <f>VLOOKUP(A9,Listas!A$3:C$30,2,0)</f>
        <v>27101</v>
      </c>
      <c r="U9" s="3" t="s">
        <v>152</v>
      </c>
      <c r="V9" s="3" t="s">
        <v>152</v>
      </c>
      <c r="W9" s="5" t="s">
        <v>152</v>
      </c>
      <c r="X9" s="3" t="s">
        <v>152</v>
      </c>
      <c r="Y9" s="3" t="s">
        <v>152</v>
      </c>
    </row>
    <row r="10" spans="1:26" x14ac:dyDescent="0.2">
      <c r="A10" s="3" t="s">
        <v>85</v>
      </c>
      <c r="B10" s="3" t="str">
        <f>VLOOKUP(A10,Listas!A$3:C$30,3,0)</f>
        <v>Secretaria Municipal de Infraestrutura</v>
      </c>
      <c r="C10" s="11" t="s">
        <v>142</v>
      </c>
      <c r="D10" s="3" t="s">
        <v>125</v>
      </c>
      <c r="E10" s="3"/>
      <c r="F10" s="3"/>
      <c r="G10" s="3"/>
      <c r="H10" s="5"/>
      <c r="I10" s="5">
        <f t="shared" si="0"/>
        <v>0</v>
      </c>
      <c r="J10" s="3"/>
      <c r="K10" s="3" t="s">
        <v>152</v>
      </c>
      <c r="L10" s="5">
        <v>0</v>
      </c>
      <c r="M10" s="9">
        <v>496</v>
      </c>
      <c r="N10" s="10" t="s">
        <v>152</v>
      </c>
      <c r="O10" s="3" t="s">
        <v>152</v>
      </c>
      <c r="P10" s="3" t="s">
        <v>152</v>
      </c>
      <c r="Q10" s="11" t="s">
        <v>168</v>
      </c>
      <c r="R10" s="3" t="s">
        <v>152</v>
      </c>
      <c r="S10" s="12" t="s">
        <v>152</v>
      </c>
      <c r="T10" s="9" t="str">
        <f>VLOOKUP(A10,Listas!A$3:C$30,2,0)</f>
        <v>27101</v>
      </c>
      <c r="U10" s="3" t="s">
        <v>152</v>
      </c>
      <c r="V10" s="3" t="s">
        <v>152</v>
      </c>
      <c r="W10" s="5" t="s">
        <v>152</v>
      </c>
      <c r="X10" s="3" t="s">
        <v>152</v>
      </c>
      <c r="Y10" s="3" t="s">
        <v>152</v>
      </c>
    </row>
    <row r="11" spans="1:26" x14ac:dyDescent="0.2">
      <c r="A11" s="3" t="s">
        <v>85</v>
      </c>
      <c r="B11" s="3" t="str">
        <f>VLOOKUP(A11,Listas!A$3:C$30,3,0)</f>
        <v>Secretaria Municipal de Infraestrutura</v>
      </c>
      <c r="C11" s="11" t="s">
        <v>143</v>
      </c>
      <c r="D11" s="3" t="s">
        <v>128</v>
      </c>
      <c r="E11" s="3" t="s">
        <v>132</v>
      </c>
      <c r="F11" s="3"/>
      <c r="G11" s="3"/>
      <c r="H11" s="5"/>
      <c r="I11" s="5">
        <f t="shared" si="0"/>
        <v>0</v>
      </c>
      <c r="J11" s="3"/>
      <c r="K11" s="3" t="s">
        <v>152</v>
      </c>
      <c r="L11" s="5">
        <v>0</v>
      </c>
      <c r="M11" s="9">
        <v>497</v>
      </c>
      <c r="N11" s="10" t="s">
        <v>152</v>
      </c>
      <c r="O11" s="3" t="s">
        <v>152</v>
      </c>
      <c r="P11" s="3" t="s">
        <v>152</v>
      </c>
      <c r="Q11" s="11" t="s">
        <v>169</v>
      </c>
      <c r="R11" s="3" t="s">
        <v>152</v>
      </c>
      <c r="S11" s="12" t="s">
        <v>152</v>
      </c>
      <c r="T11" s="9" t="str">
        <f>VLOOKUP(A11,Listas!A$3:C$30,2,0)</f>
        <v>27101</v>
      </c>
      <c r="U11" s="3" t="s">
        <v>152</v>
      </c>
      <c r="V11" s="3" t="s">
        <v>152</v>
      </c>
      <c r="W11" s="5" t="s">
        <v>152</v>
      </c>
      <c r="X11" s="3" t="s">
        <v>152</v>
      </c>
      <c r="Y11" s="3" t="s">
        <v>152</v>
      </c>
    </row>
    <row r="12" spans="1:26" x14ac:dyDescent="0.2">
      <c r="A12" s="3" t="s">
        <v>85</v>
      </c>
      <c r="B12" s="3" t="str">
        <f>VLOOKUP(A12,Listas!A$3:C$30,3,0)</f>
        <v>Secretaria Municipal de Infraestrutura</v>
      </c>
      <c r="C12" s="11" t="s">
        <v>144</v>
      </c>
      <c r="D12" s="3" t="s">
        <v>126</v>
      </c>
      <c r="E12" s="3"/>
      <c r="F12" s="3"/>
      <c r="G12" s="3"/>
      <c r="H12" s="5"/>
      <c r="I12" s="5">
        <f t="shared" si="0"/>
        <v>0</v>
      </c>
      <c r="J12" s="3"/>
      <c r="K12" s="3" t="s">
        <v>152</v>
      </c>
      <c r="L12" s="5">
        <v>0</v>
      </c>
      <c r="M12" s="9">
        <v>498</v>
      </c>
      <c r="N12" s="10" t="s">
        <v>152</v>
      </c>
      <c r="O12" s="3" t="s">
        <v>152</v>
      </c>
      <c r="P12" s="3" t="s">
        <v>152</v>
      </c>
      <c r="Q12" s="11" t="s">
        <v>170</v>
      </c>
      <c r="R12" s="3" t="s">
        <v>152</v>
      </c>
      <c r="S12" s="12" t="s">
        <v>152</v>
      </c>
      <c r="T12" s="9" t="str">
        <f>VLOOKUP(A12,Listas!A$3:C$30,2,0)</f>
        <v>27101</v>
      </c>
      <c r="U12" s="3" t="s">
        <v>152</v>
      </c>
      <c r="V12" s="3" t="s">
        <v>152</v>
      </c>
      <c r="W12" s="5" t="s">
        <v>152</v>
      </c>
      <c r="X12" s="3" t="s">
        <v>152</v>
      </c>
      <c r="Y12" s="3" t="s">
        <v>152</v>
      </c>
    </row>
    <row r="13" spans="1:26" x14ac:dyDescent="0.2">
      <c r="A13" s="3" t="s">
        <v>85</v>
      </c>
      <c r="B13" s="3" t="str">
        <f>VLOOKUP(A13,Listas!A$3:C$30,3,0)</f>
        <v>Secretaria Municipal de Infraestrutura</v>
      </c>
      <c r="C13" s="11" t="s">
        <v>145</v>
      </c>
      <c r="D13" s="3" t="s">
        <v>125</v>
      </c>
      <c r="E13" s="3" t="s">
        <v>132</v>
      </c>
      <c r="F13" s="3"/>
      <c r="G13" s="3"/>
      <c r="H13" s="5"/>
      <c r="I13" s="5">
        <f t="shared" si="0"/>
        <v>0</v>
      </c>
      <c r="J13" s="3"/>
      <c r="K13" s="3" t="s">
        <v>152</v>
      </c>
      <c r="L13" s="5">
        <v>0</v>
      </c>
      <c r="M13" s="9">
        <v>499</v>
      </c>
      <c r="N13" s="10" t="s">
        <v>152</v>
      </c>
      <c r="O13" s="3" t="s">
        <v>152</v>
      </c>
      <c r="P13" s="3" t="s">
        <v>152</v>
      </c>
      <c r="Q13" s="11" t="s">
        <v>171</v>
      </c>
      <c r="R13" s="3" t="s">
        <v>152</v>
      </c>
      <c r="S13" s="12" t="s">
        <v>152</v>
      </c>
      <c r="T13" s="9" t="str">
        <f>VLOOKUP(A13,Listas!A$3:C$30,2,0)</f>
        <v>27101</v>
      </c>
      <c r="U13" s="3" t="s">
        <v>152</v>
      </c>
      <c r="V13" s="3" t="s">
        <v>152</v>
      </c>
      <c r="W13" s="5" t="s">
        <v>152</v>
      </c>
      <c r="X13" s="3" t="s">
        <v>152</v>
      </c>
      <c r="Y13" s="3" t="s">
        <v>152</v>
      </c>
    </row>
    <row r="14" spans="1:26" x14ac:dyDescent="0.2">
      <c r="A14" s="3" t="s">
        <v>85</v>
      </c>
      <c r="B14" s="3" t="str">
        <f>VLOOKUP(A14,Listas!A$3:C$30,3,0)</f>
        <v>Secretaria Municipal de Infraestrutura</v>
      </c>
      <c r="C14" s="11" t="s">
        <v>146</v>
      </c>
      <c r="D14" s="3" t="s">
        <v>126</v>
      </c>
      <c r="E14" s="3" t="s">
        <v>132</v>
      </c>
      <c r="F14" s="3"/>
      <c r="G14" s="3"/>
      <c r="H14" s="5"/>
      <c r="I14" s="5">
        <f t="shared" si="0"/>
        <v>0</v>
      </c>
      <c r="J14" s="3"/>
      <c r="K14" s="3" t="s">
        <v>152</v>
      </c>
      <c r="L14" s="5">
        <v>0</v>
      </c>
      <c r="M14" s="9">
        <v>500</v>
      </c>
      <c r="N14" s="10" t="s">
        <v>152</v>
      </c>
      <c r="O14" s="3" t="s">
        <v>152</v>
      </c>
      <c r="P14" s="3" t="s">
        <v>152</v>
      </c>
      <c r="Q14" s="11" t="s">
        <v>172</v>
      </c>
      <c r="R14" s="3" t="s">
        <v>152</v>
      </c>
      <c r="S14" s="12" t="s">
        <v>152</v>
      </c>
      <c r="T14" s="9" t="str">
        <f>VLOOKUP(A14,Listas!A$3:C$30,2,0)</f>
        <v>27101</v>
      </c>
      <c r="U14" s="3" t="s">
        <v>152</v>
      </c>
      <c r="V14" s="3" t="s">
        <v>152</v>
      </c>
      <c r="W14" s="5" t="s">
        <v>152</v>
      </c>
      <c r="X14" s="3" t="s">
        <v>152</v>
      </c>
      <c r="Y14" s="3" t="s">
        <v>152</v>
      </c>
    </row>
    <row r="15" spans="1:26" x14ac:dyDescent="0.2">
      <c r="A15" s="3" t="s">
        <v>85</v>
      </c>
      <c r="B15" s="3" t="str">
        <f>VLOOKUP(A15,Listas!A$3:C$30,3,0)</f>
        <v>Secretaria Municipal de Infraestrutura</v>
      </c>
      <c r="C15" s="11" t="s">
        <v>147</v>
      </c>
      <c r="D15" s="3" t="s">
        <v>125</v>
      </c>
      <c r="E15" s="3" t="s">
        <v>132</v>
      </c>
      <c r="F15" s="3"/>
      <c r="G15" s="3"/>
      <c r="H15" s="5"/>
      <c r="I15" s="5">
        <f t="shared" si="0"/>
        <v>0</v>
      </c>
      <c r="J15" s="3"/>
      <c r="K15" s="3" t="s">
        <v>152</v>
      </c>
      <c r="L15" s="5">
        <v>0</v>
      </c>
      <c r="M15" s="9">
        <v>501</v>
      </c>
      <c r="N15" s="10" t="s">
        <v>152</v>
      </c>
      <c r="O15" s="3" t="s">
        <v>152</v>
      </c>
      <c r="P15" s="3" t="s">
        <v>152</v>
      </c>
      <c r="Q15" s="11" t="s">
        <v>173</v>
      </c>
      <c r="R15" s="3" t="s">
        <v>152</v>
      </c>
      <c r="S15" s="12" t="s">
        <v>152</v>
      </c>
      <c r="T15" s="9" t="str">
        <f>VLOOKUP(A15,Listas!A$3:C$30,2,0)</f>
        <v>27101</v>
      </c>
      <c r="U15" s="3" t="s">
        <v>152</v>
      </c>
      <c r="V15" s="3" t="s">
        <v>152</v>
      </c>
      <c r="W15" s="5" t="s">
        <v>152</v>
      </c>
      <c r="X15" s="3" t="s">
        <v>152</v>
      </c>
      <c r="Y15" s="3" t="s">
        <v>152</v>
      </c>
    </row>
    <row r="16" spans="1:26" x14ac:dyDescent="0.2">
      <c r="A16" s="3" t="s">
        <v>85</v>
      </c>
      <c r="B16" s="3" t="str">
        <f>VLOOKUP(A16,Listas!A$3:C$30,3,0)</f>
        <v>Secretaria Municipal de Infraestrutura</v>
      </c>
      <c r="C16" s="11" t="s">
        <v>148</v>
      </c>
      <c r="D16" s="3" t="s">
        <v>128</v>
      </c>
      <c r="E16" s="3"/>
      <c r="F16" s="3"/>
      <c r="G16" s="3"/>
      <c r="H16" s="5"/>
      <c r="I16" s="5">
        <f t="shared" si="0"/>
        <v>0</v>
      </c>
      <c r="J16" s="3"/>
      <c r="K16" s="3" t="s">
        <v>152</v>
      </c>
      <c r="L16" s="5">
        <v>0</v>
      </c>
      <c r="M16" s="9">
        <v>502</v>
      </c>
      <c r="N16" s="10" t="s">
        <v>152</v>
      </c>
      <c r="O16" s="3" t="s">
        <v>152</v>
      </c>
      <c r="P16" s="3" t="s">
        <v>152</v>
      </c>
      <c r="Q16" s="11" t="s">
        <v>174</v>
      </c>
      <c r="R16" s="3" t="s">
        <v>152</v>
      </c>
      <c r="S16" s="12" t="s">
        <v>152</v>
      </c>
      <c r="T16" s="9" t="str">
        <f>VLOOKUP(A16,Listas!A$3:C$30,2,0)</f>
        <v>27101</v>
      </c>
      <c r="U16" s="3" t="s">
        <v>152</v>
      </c>
      <c r="V16" s="3" t="s">
        <v>152</v>
      </c>
      <c r="W16" s="5" t="s">
        <v>152</v>
      </c>
      <c r="X16" s="3" t="s">
        <v>152</v>
      </c>
      <c r="Y16" s="3" t="s">
        <v>152</v>
      </c>
    </row>
    <row r="17" spans="1:25" x14ac:dyDescent="0.2">
      <c r="A17" s="3" t="s">
        <v>85</v>
      </c>
      <c r="B17" s="3" t="str">
        <f>VLOOKUP(A17,Listas!A$3:C$30,3,0)</f>
        <v>Secretaria Municipal de Infraestrutura</v>
      </c>
      <c r="C17" s="11" t="s">
        <v>149</v>
      </c>
      <c r="D17" s="3" t="s">
        <v>130</v>
      </c>
      <c r="E17" s="3" t="s">
        <v>132</v>
      </c>
      <c r="F17" s="3"/>
      <c r="G17" s="3"/>
      <c r="H17" s="5"/>
      <c r="I17" s="5">
        <f t="shared" si="0"/>
        <v>0</v>
      </c>
      <c r="J17" s="3"/>
      <c r="K17" s="3" t="s">
        <v>152</v>
      </c>
      <c r="L17" s="5">
        <v>0</v>
      </c>
      <c r="M17" s="9">
        <v>503</v>
      </c>
      <c r="N17" s="10" t="s">
        <v>152</v>
      </c>
      <c r="O17" s="3" t="s">
        <v>152</v>
      </c>
      <c r="P17" s="3" t="s">
        <v>152</v>
      </c>
      <c r="Q17" s="11" t="s">
        <v>175</v>
      </c>
      <c r="R17" s="3" t="s">
        <v>152</v>
      </c>
      <c r="S17" s="12" t="s">
        <v>152</v>
      </c>
      <c r="T17" s="9" t="str">
        <f>VLOOKUP(A17,Listas!A$3:C$30,2,0)</f>
        <v>27101</v>
      </c>
      <c r="U17" s="3" t="s">
        <v>152</v>
      </c>
      <c r="V17" s="3" t="s">
        <v>152</v>
      </c>
      <c r="W17" s="5" t="s">
        <v>152</v>
      </c>
      <c r="X17" s="3" t="s">
        <v>152</v>
      </c>
      <c r="Y17" s="3" t="s">
        <v>152</v>
      </c>
    </row>
    <row r="18" spans="1:25" x14ac:dyDescent="0.2">
      <c r="A18" s="3" t="s">
        <v>85</v>
      </c>
      <c r="B18" s="3" t="str">
        <f>VLOOKUP(A18,Listas!A$3:C$30,3,0)</f>
        <v>Secretaria Municipal de Infraestrutura</v>
      </c>
      <c r="C18" s="11" t="s">
        <v>150</v>
      </c>
      <c r="D18" s="3" t="s">
        <v>127</v>
      </c>
      <c r="E18" s="3" t="s">
        <v>132</v>
      </c>
      <c r="F18" s="3" t="s">
        <v>131</v>
      </c>
      <c r="G18" s="3">
        <v>62344</v>
      </c>
      <c r="H18" s="5">
        <v>13179127.279999999</v>
      </c>
      <c r="I18" s="5">
        <f t="shared" si="0"/>
        <v>22430179.100000001</v>
      </c>
      <c r="J18" s="3"/>
      <c r="K18" s="3" t="s">
        <v>152</v>
      </c>
      <c r="L18" s="5">
        <v>9251051.8200000003</v>
      </c>
      <c r="M18" s="9">
        <v>504</v>
      </c>
      <c r="N18" s="10" t="s">
        <v>152</v>
      </c>
      <c r="O18" s="3" t="s">
        <v>152</v>
      </c>
      <c r="P18" s="3" t="s">
        <v>152</v>
      </c>
      <c r="Q18" s="11" t="s">
        <v>122</v>
      </c>
      <c r="R18" s="3" t="s">
        <v>152</v>
      </c>
      <c r="S18" s="12" t="s">
        <v>152</v>
      </c>
      <c r="T18" s="9" t="str">
        <f>VLOOKUP(A18,Listas!A$3:C$30,2,0)</f>
        <v>27101</v>
      </c>
      <c r="U18" s="3" t="s">
        <v>152</v>
      </c>
      <c r="V18" s="3" t="s">
        <v>152</v>
      </c>
      <c r="W18" s="5" t="s">
        <v>152</v>
      </c>
      <c r="X18" s="3" t="s">
        <v>152</v>
      </c>
      <c r="Y18" s="3" t="s">
        <v>152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S4:S18</xm:sqref>
        </x14:dataValidation>
        <x14:dataValidation type="list" allowBlank="1" showInputMessage="1" showErrorMessage="1">
          <x14:formula1>
            <xm:f>Listas!$D$3:$D$8</xm:f>
          </x14:formula1>
          <xm:sqref>P4:P18</xm:sqref>
        </x14:dataValidation>
        <x14:dataValidation type="list" allowBlank="1" showInputMessage="1" showErrorMessage="1">
          <x14:formula1>
            <xm:f>Listas!$E$3:$E$10</xm:f>
          </x14:formula1>
          <xm:sqref>D4:D18</xm:sqref>
        </x14:dataValidation>
        <x14:dataValidation type="list" allowBlank="1" showInputMessage="1" showErrorMessage="1">
          <x14:formula1>
            <xm:f>Listas!$A$3:$A$30</xm:f>
          </x14:formula1>
          <xm:sqref>A4:A18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123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152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152</v>
      </c>
      <c r="G8" s="6" t="s">
        <v>152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133</v>
      </c>
      <c r="B27" s="6" t="s">
        <v>134</v>
      </c>
      <c r="C27" s="6" t="s">
        <v>135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2026-04-28T19:43:06Z</dcterms:modified>
</cp:coreProperties>
</file>